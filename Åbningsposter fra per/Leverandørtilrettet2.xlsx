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av\OdlaGeneral\Åbningsposter fra per\"/>
    </mc:Choice>
  </mc:AlternateContent>
  <xr:revisionPtr revIDLastSave="0" documentId="8_{B51EC354-2B46-405A-BF79-5FB073130CD3}" xr6:coauthVersionLast="47" xr6:coauthVersionMax="47" xr10:uidLastSave="{00000000-0000-0000-0000-000000000000}"/>
  <bookViews>
    <workbookView xWindow="1215" yWindow="2655" windowWidth="28800" windowHeight="15345" xr2:uid="{00000000-000D-0000-FFFF-FFFF00000000}"/>
  </bookViews>
  <sheets>
    <sheet name="Finanskladdelinje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5" i="1" l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USER_1EFC058EF0E4493FB4038AB14FE104FB</author>
  </authors>
  <commentList>
    <comment ref="A3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C3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D3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Option
0: Finanskonto
1: Debitor
2: Kreditor
3: Bankkonto
4: Anlæg
5: IC-partner
6: Medarbejder
7: Tildelingskonto</t>
        </r>
      </text>
    </comment>
    <comment ref="E3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F3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G3" authorId="0" shapeId="0" xr:uid="{00000000-0006-0000-0000-000007000000}">
      <text>
        <r>
          <rPr>
            <b/>
            <sz val="9"/>
            <color indexed="81"/>
            <rFont val="Tahoma"/>
            <charset val="1"/>
          </rPr>
          <t>Option
0:  
1: Betaling
2: Faktura
3: Kreditnota
4: Rentenota
5: Rykker
6: Refusion</t>
        </r>
      </text>
    </comment>
    <comment ref="H3" authorId="0" shapeId="0" xr:uid="{00000000-0006-0000-0000-000008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I3" authorId="0" shapeId="0" xr:uid="{00000000-0006-0000-0000-000009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J3" authorId="0" shapeId="0" xr:uid="{00000000-0006-0000-0000-00000A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K3" authorId="0" shapeId="0" xr:uid="{00000000-0006-0000-0000-00000B000000}">
      <text>
        <r>
          <rPr>
            <b/>
            <sz val="9"/>
            <color indexed="81"/>
            <rFont val="Tahoma"/>
            <charset val="1"/>
          </rPr>
          <t>Text35</t>
        </r>
      </text>
    </comment>
    <comment ref="L3" authorId="0" shapeId="0" xr:uid="{00000000-0006-0000-0000-00000C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M3" authorId="0" shapeId="0" xr:uid="{00000000-0006-0000-0000-00000D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N3" authorId="0" shapeId="0" xr:uid="{00000000-0006-0000-0000-00000E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O3" authorId="0" shapeId="0" xr:uid="{00000000-0006-0000-0000-00000F000000}">
      <text>
        <r>
          <rPr>
            <b/>
            <sz val="9"/>
            <color indexed="81"/>
            <rFont val="Tahoma"/>
            <charset val="1"/>
          </rPr>
          <t>Decimal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__TEMP__a4cfa65ed7b54ca283c222d0d7096b3d.tmp" type="4" refreshedVersion="0" background="1">
    <webPr xml="1" sourceData="1" url="C:\ProgramData\Microsoft\Microsoft Dynamics NAV\270\Server\MicrosoftDynamicsNavServer$MS\users\msneua3194t82098768\792f706c-ac65-430a-b239-95c38b58444b\TEMP\__TEMP__a4cfa65ed7b54ca283c222d0d7096b3d.tmp" htmlTables="1"/>
  </connection>
  <connection id="2" xr16:uid="{90E8E7CD-9EEF-4558-9AF4-611EC1C443DF}" name="1" type="4" refreshedVersion="0" background="1">
    <webPr xml="1" sourceData="1" url="1" htmlTables="1" htmlFormat="all"/>
  </connection>
</connections>
</file>

<file path=xl/sharedStrings.xml><?xml version="1.0" encoding="utf-8"?>
<sst xmlns="http://schemas.openxmlformats.org/spreadsheetml/2006/main" count="1019" uniqueCount="310">
  <si>
    <t>ÅBNINGSPOSTER</t>
  </si>
  <si>
    <t>Finanskladdelinje</t>
  </si>
  <si>
    <t>81</t>
  </si>
  <si>
    <t>Kladdetypenavn</t>
  </si>
  <si>
    <t>Kladdenavn</t>
  </si>
  <si>
    <t>Linjenr.</t>
  </si>
  <si>
    <t>Kontotype</t>
  </si>
  <si>
    <t>Kontonr.</t>
  </si>
  <si>
    <t>Beskrivelse</t>
  </si>
  <si>
    <t>Bilagstype</t>
  </si>
  <si>
    <t>Bilagsnr.</t>
  </si>
  <si>
    <t>Bogføringsdato</t>
  </si>
  <si>
    <t>Forfaldsdato</t>
  </si>
  <si>
    <t>Din reference</t>
  </si>
  <si>
    <t>Valutakode</t>
  </si>
  <si>
    <t>Valutafaktor</t>
  </si>
  <si>
    <t>Beløb</t>
  </si>
  <si>
    <t>Beløb (RV)</t>
  </si>
  <si>
    <t>REDOV</t>
  </si>
  <si>
    <t>Faktura</t>
  </si>
  <si>
    <t>20000</t>
  </si>
  <si>
    <t>30000</t>
  </si>
  <si>
    <t>40000</t>
  </si>
  <si>
    <t>50000</t>
  </si>
  <si>
    <t>60000</t>
  </si>
  <si>
    <t>70000</t>
  </si>
  <si>
    <t>80000</t>
  </si>
  <si>
    <t>90000</t>
  </si>
  <si>
    <t>100000</t>
  </si>
  <si>
    <t>110000</t>
  </si>
  <si>
    <t>120000</t>
  </si>
  <si>
    <t>130000</t>
  </si>
  <si>
    <t>140000</t>
  </si>
  <si>
    <t>150000</t>
  </si>
  <si>
    <t>160000</t>
  </si>
  <si>
    <t>170000</t>
  </si>
  <si>
    <t>180000</t>
  </si>
  <si>
    <t>190000</t>
  </si>
  <si>
    <t>200000</t>
  </si>
  <si>
    <t>210000</t>
  </si>
  <si>
    <t>220000</t>
  </si>
  <si>
    <t>230000</t>
  </si>
  <si>
    <t>240000</t>
  </si>
  <si>
    <t>250000</t>
  </si>
  <si>
    <t>260000</t>
  </si>
  <si>
    <t>270000</t>
  </si>
  <si>
    <t>280000</t>
  </si>
  <si>
    <t>290000</t>
  </si>
  <si>
    <t>300000</t>
  </si>
  <si>
    <t>310000</t>
  </si>
  <si>
    <t>320000</t>
  </si>
  <si>
    <t>330000</t>
  </si>
  <si>
    <t>340000</t>
  </si>
  <si>
    <t>350000</t>
  </si>
  <si>
    <t>360000</t>
  </si>
  <si>
    <t>370000</t>
  </si>
  <si>
    <t>380000</t>
  </si>
  <si>
    <t>ÅBNINGKRE</t>
  </si>
  <si>
    <t>10000</t>
  </si>
  <si>
    <t>Kreditor</t>
  </si>
  <si>
    <t>Meta Ads</t>
  </si>
  <si>
    <t>EUR</t>
  </si>
  <si>
    <t>1015544</t>
  </si>
  <si>
    <t>HT EMBALLAGE AB</t>
  </si>
  <si>
    <t>D 449</t>
  </si>
  <si>
    <t>SEK</t>
  </si>
  <si>
    <t>1058080</t>
  </si>
  <si>
    <t>SWEDOL AB</t>
  </si>
  <si>
    <t>D 273</t>
  </si>
  <si>
    <t>D 446</t>
  </si>
  <si>
    <t>103</t>
  </si>
  <si>
    <t>NELSON GARDEN AB</t>
  </si>
  <si>
    <t>D 396</t>
  </si>
  <si>
    <t>D 417</t>
  </si>
  <si>
    <t>D 456</t>
  </si>
  <si>
    <t>142</t>
  </si>
  <si>
    <t>ALLOFFICE NORDIC AB</t>
  </si>
  <si>
    <t>D 445</t>
  </si>
  <si>
    <t>134</t>
  </si>
  <si>
    <t>VK VIVIDI AB</t>
  </si>
  <si>
    <t>D 438</t>
  </si>
  <si>
    <t>D 447</t>
  </si>
  <si>
    <t>149</t>
  </si>
  <si>
    <t>GÖINGE FRIDHEM TRÄDGÅRDS AB</t>
  </si>
  <si>
    <t>D 485</t>
  </si>
  <si>
    <t>3199973</t>
  </si>
  <si>
    <t>HI3G Access AB</t>
  </si>
  <si>
    <t>D 465</t>
  </si>
  <si>
    <t>337505000</t>
  </si>
  <si>
    <t>BORDING AB</t>
  </si>
  <si>
    <t>D 477</t>
  </si>
  <si>
    <t>180</t>
  </si>
  <si>
    <t>OMNIA GARDEN AB</t>
  </si>
  <si>
    <t>D 1196</t>
  </si>
  <si>
    <t>D 1197</t>
  </si>
  <si>
    <t>D 1222</t>
  </si>
  <si>
    <t>D 1241</t>
  </si>
  <si>
    <t>D 444</t>
  </si>
  <si>
    <t>D 454</t>
  </si>
  <si>
    <t>D 478</t>
  </si>
  <si>
    <t>D 473</t>
  </si>
  <si>
    <t>D 471</t>
  </si>
  <si>
    <t>5959663</t>
  </si>
  <si>
    <t>KRISTIANSTADS KOMMUN</t>
  </si>
  <si>
    <t>D 470</t>
  </si>
  <si>
    <t>152</t>
  </si>
  <si>
    <t>BOKASHIWORLD IN SWEDEN AB</t>
  </si>
  <si>
    <t>D 466</t>
  </si>
  <si>
    <t>8349276</t>
  </si>
  <si>
    <t>STENA RECYCLING AB</t>
  </si>
  <si>
    <t>D 468</t>
  </si>
  <si>
    <t>58</t>
  </si>
  <si>
    <t>Västanvinden i Landskrona AB / Svea</t>
  </si>
  <si>
    <t>D 455</t>
  </si>
  <si>
    <t>61</t>
  </si>
  <si>
    <t>VENSO ECOSOLUTIONS AB</t>
  </si>
  <si>
    <t>D 441</t>
  </si>
  <si>
    <t>50394790</t>
  </si>
  <si>
    <t>JH Support AB</t>
  </si>
  <si>
    <t>D 472</t>
  </si>
  <si>
    <t>50435726</t>
  </si>
  <si>
    <t>Fora AB / Nytt BG</t>
  </si>
  <si>
    <t>D 31</t>
  </si>
  <si>
    <t>51798833</t>
  </si>
  <si>
    <t>VOYADO LUND AB</t>
  </si>
  <si>
    <t>D 1124</t>
  </si>
  <si>
    <t>D 1125</t>
  </si>
  <si>
    <t>47</t>
  </si>
  <si>
    <t>DIFFERENT DESIGN AB</t>
  </si>
  <si>
    <t>D 400</t>
  </si>
  <si>
    <t>52494309</t>
  </si>
  <si>
    <t>POSTNORD SVERIGE AB</t>
  </si>
  <si>
    <t>D 451</t>
  </si>
  <si>
    <t>D 452</t>
  </si>
  <si>
    <t>D 453</t>
  </si>
  <si>
    <t>52799590</t>
  </si>
  <si>
    <t>SVENSKA STÄDSÄLLSKAPET AB</t>
  </si>
  <si>
    <t>D 476</t>
  </si>
  <si>
    <t>52870342</t>
  </si>
  <si>
    <t>ESECO SYSTEM AB</t>
  </si>
  <si>
    <t>D 475</t>
  </si>
  <si>
    <t>D 474</t>
  </si>
  <si>
    <t>52961257</t>
  </si>
  <si>
    <t>GLESYS INTERNET SERVICES AB</t>
  </si>
  <si>
    <t>D 450</t>
  </si>
  <si>
    <t>390000</t>
  </si>
  <si>
    <t>54533260</t>
  </si>
  <si>
    <t>VERIFONE SWEDEN AB</t>
  </si>
  <si>
    <t>D 469</t>
  </si>
  <si>
    <t>400000</t>
  </si>
  <si>
    <t>158</t>
  </si>
  <si>
    <t>OLLES BLOMMOR AB</t>
  </si>
  <si>
    <t>D 440</t>
  </si>
  <si>
    <t>410000</t>
  </si>
  <si>
    <t>D 464</t>
  </si>
  <si>
    <t>420000</t>
  </si>
  <si>
    <t>Partnersense AB</t>
  </si>
  <si>
    <t>D 460</t>
  </si>
  <si>
    <t>430000</t>
  </si>
  <si>
    <t>TELE2 SVERIGE AB</t>
  </si>
  <si>
    <t>D 487</t>
  </si>
  <si>
    <t>440000</t>
  </si>
  <si>
    <t>Näringslivets Producentansvar i Sverige AB</t>
  </si>
  <si>
    <t>D 439</t>
  </si>
  <si>
    <t>450000</t>
  </si>
  <si>
    <t>D 489</t>
  </si>
  <si>
    <t>460000</t>
  </si>
  <si>
    <t>D 480</t>
  </si>
  <si>
    <t>470000</t>
  </si>
  <si>
    <t>708857451</t>
  </si>
  <si>
    <t>BSG Redovisning AB</t>
  </si>
  <si>
    <t>D 443</t>
  </si>
  <si>
    <t>480000</t>
  </si>
  <si>
    <t>94</t>
  </si>
  <si>
    <t>SW Horto AB</t>
  </si>
  <si>
    <t>D 486</t>
  </si>
  <si>
    <t>490000</t>
  </si>
  <si>
    <t>195</t>
  </si>
  <si>
    <t>Plus A/S</t>
  </si>
  <si>
    <t>D 53</t>
  </si>
  <si>
    <t>DKK</t>
  </si>
  <si>
    <t>500000</t>
  </si>
  <si>
    <t>D 232</t>
  </si>
  <si>
    <t>510000</t>
  </si>
  <si>
    <t>D 239</t>
  </si>
  <si>
    <t>520000</t>
  </si>
  <si>
    <t>D 242</t>
  </si>
  <si>
    <t>530000</t>
  </si>
  <si>
    <t>D 243</t>
  </si>
  <si>
    <t>540000</t>
  </si>
  <si>
    <t>D 244</t>
  </si>
  <si>
    <t>550000</t>
  </si>
  <si>
    <t>D 245</t>
  </si>
  <si>
    <t>560000</t>
  </si>
  <si>
    <t>D 246</t>
  </si>
  <si>
    <t>570000</t>
  </si>
  <si>
    <t>D 240</t>
  </si>
  <si>
    <t>580000</t>
  </si>
  <si>
    <t>D 344</t>
  </si>
  <si>
    <t>590000</t>
  </si>
  <si>
    <t>D 345</t>
  </si>
  <si>
    <t>600000</t>
  </si>
  <si>
    <t>Tiger Media A/S</t>
  </si>
  <si>
    <t>D 457</t>
  </si>
  <si>
    <t>610000</t>
  </si>
  <si>
    <t>pieterpik</t>
  </si>
  <si>
    <t>D 488</t>
  </si>
  <si>
    <t>620000</t>
  </si>
  <si>
    <t>187</t>
  </si>
  <si>
    <t>FAUSOL A/S</t>
  </si>
  <si>
    <t>D 187</t>
  </si>
  <si>
    <t>630000</t>
  </si>
  <si>
    <t>D 265</t>
  </si>
  <si>
    <t>640000</t>
  </si>
  <si>
    <t>D 282</t>
  </si>
  <si>
    <t>650000</t>
  </si>
  <si>
    <t>D 355</t>
  </si>
  <si>
    <t>660000</t>
  </si>
  <si>
    <t>D 386</t>
  </si>
  <si>
    <t>670000</t>
  </si>
  <si>
    <t>D 426</t>
  </si>
  <si>
    <t>680000</t>
  </si>
  <si>
    <t>D 578</t>
  </si>
  <si>
    <t>690000</t>
  </si>
  <si>
    <t>D 604</t>
  </si>
  <si>
    <t>700000</t>
  </si>
  <si>
    <t>D 716</t>
  </si>
  <si>
    <t>710000</t>
  </si>
  <si>
    <t>D 888</t>
  </si>
  <si>
    <t>720000</t>
  </si>
  <si>
    <t>D 889</t>
  </si>
  <si>
    <t>730000</t>
  </si>
  <si>
    <t>D 890</t>
  </si>
  <si>
    <t>740000</t>
  </si>
  <si>
    <t>D 909</t>
  </si>
  <si>
    <t>750000</t>
  </si>
  <si>
    <t>D 177</t>
  </si>
  <si>
    <t>760000</t>
  </si>
  <si>
    <t>D 210</t>
  </si>
  <si>
    <t>770000</t>
  </si>
  <si>
    <t>D 448</t>
  </si>
  <si>
    <t>780000</t>
  </si>
  <si>
    <t>790000</t>
  </si>
  <si>
    <t>D 539</t>
  </si>
  <si>
    <t>800000</t>
  </si>
  <si>
    <t>D 1077</t>
  </si>
  <si>
    <t>810000</t>
  </si>
  <si>
    <t>D 884</t>
  </si>
  <si>
    <t>820000</t>
  </si>
  <si>
    <t>D 953</t>
  </si>
  <si>
    <t>830000</t>
  </si>
  <si>
    <t>D 1041</t>
  </si>
  <si>
    <t>840000</t>
  </si>
  <si>
    <t>D 1181</t>
  </si>
  <si>
    <t>850000</t>
  </si>
  <si>
    <t>D 1256</t>
  </si>
  <si>
    <t>860000</t>
  </si>
  <si>
    <t>D 211</t>
  </si>
  <si>
    <t>870000</t>
  </si>
  <si>
    <t>D 213</t>
  </si>
  <si>
    <t>880000</t>
  </si>
  <si>
    <t>D 252</t>
  </si>
  <si>
    <t>890000</t>
  </si>
  <si>
    <t>D 253</t>
  </si>
  <si>
    <t>900000</t>
  </si>
  <si>
    <t>D 217</t>
  </si>
  <si>
    <t>910000</t>
  </si>
  <si>
    <t>D 215</t>
  </si>
  <si>
    <t>920000</t>
  </si>
  <si>
    <t>D 214</t>
  </si>
  <si>
    <t>930000</t>
  </si>
  <si>
    <t>D 216</t>
  </si>
  <si>
    <t>940000</t>
  </si>
  <si>
    <t>D 250</t>
  </si>
  <si>
    <t>950000</t>
  </si>
  <si>
    <t>D 251</t>
  </si>
  <si>
    <t>960000</t>
  </si>
  <si>
    <t>D 247</t>
  </si>
  <si>
    <t>970000</t>
  </si>
  <si>
    <t>D 248</t>
  </si>
  <si>
    <t>980000</t>
  </si>
  <si>
    <t>D 208</t>
  </si>
  <si>
    <t>990000</t>
  </si>
  <si>
    <t>D 249</t>
  </si>
  <si>
    <t>1000000</t>
  </si>
  <si>
    <t>D 256</t>
  </si>
  <si>
    <t>1010000</t>
  </si>
  <si>
    <t>D 254</t>
  </si>
  <si>
    <t>1020000</t>
  </si>
  <si>
    <t>D 255</t>
  </si>
  <si>
    <t>1030000</t>
  </si>
  <si>
    <t>D 307</t>
  </si>
  <si>
    <t>1040000</t>
  </si>
  <si>
    <t>D 306</t>
  </si>
  <si>
    <t>1050000</t>
  </si>
  <si>
    <t>D 347</t>
  </si>
  <si>
    <t>1060000</t>
  </si>
  <si>
    <t>D 324</t>
  </si>
  <si>
    <t>1070000</t>
  </si>
  <si>
    <t>D 320</t>
  </si>
  <si>
    <t>1080000</t>
  </si>
  <si>
    <t>D 321</t>
  </si>
  <si>
    <t>1090000</t>
  </si>
  <si>
    <t>D 370</t>
  </si>
  <si>
    <t>1100000</t>
  </si>
  <si>
    <t>D 430</t>
  </si>
  <si>
    <t>1110000</t>
  </si>
  <si>
    <t>D 481</t>
  </si>
  <si>
    <t>1120000</t>
  </si>
  <si>
    <t>D 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</si>
</sst>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2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/>
    <xf numFmtId="14" fontId="0" fillId="0" borderId="0" xfId="0" applyNumberFormat="1"/>
    <xf numFmtId="43" fontId="0" fillId="0" borderId="0" xfId="1" applyFont="1"/>
    <xf numFmtId="49" fontId="1" fillId="0" borderId="1" xfId="0" applyNumberFormat="1" applyFont="1" applyBorder="1"/>
    <xf numFmtId="0" fontId="0" fillId="0" borderId="0" xfId="1" applyNumberFormat="1" applyFont="1"/>
    <xf numFmtId="43" fontId="0" fillId="0" borderId="0" xfId="1" applyFont="1" applyFill="1"/>
    <xf numFmtId="0" fontId="0" fillId="0" borderId="0" xfId="0" quotePrefix="1"/>
    <xf numFmtId="0" fontId="0" fillId="3" borderId="0" xfId="0" applyFill="1"/>
    <xf numFmtId="14" fontId="0" fillId="3" borderId="0" xfId="0" applyNumberFormat="1" applyFill="1"/>
    <xf numFmtId="43" fontId="0" fillId="3" borderId="0" xfId="1" applyFont="1" applyFill="1"/>
  </cellXfs>
  <cellStyles count="2">
    <cellStyle name="Komma" xfId="1" builtinId="3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ame="DataList">
        <xsd:complexType>
          <xsd:sequence>
            <xsd:element name="GenJournalLineList">
              <xsd:complexType>
                <xsd:sequence>
                  <xsd:element type="xsd:integer" name="TableID"/>
                  <xsd:element type="xsd:integer" name="PackageCode"/>
                  <xsd:element name="GenJournalLine" maxOccurs="unbounded">
                    <xsd:complexType>
                      <xsd:sequence>
                        <xsd:element type="xsd:string" name="JournalTemplateName"/>
                        <xsd:element type="xsd:string" name="JournalBatchName"/>
                        <xsd:element type="xsd:integer" name="LineNo"/>
                        <xsd:element type="xsd:string" name="AccountType"/>
                        <xsd:element type="xsd:string" name="AccountNo"/>
                        <xsd:element type="xsd:string" name="Description"/>
                        <xsd:element type="xsd:string" name="DocumentType"/>
                        <xsd:element type="xsd:string" name="DocumentNo"/>
                        <xsd:element type="xsd:date" name="PostingDate"/>
                        <xsd:element type="xsd:date" name="DueDate"/>
                        <xsd:element type="xsd:string" name="YourReference"/>
                        <xsd:element type="xsd:string" name="CurrencyCode"/>
                        <xsd:element type="xsd:string" name="CurrencyFactor"/>
                        <xsd:element type="xsd:string" name="Amount"/>
                        <xsd:element type="xsd:string" name="AmountLCY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DataList_Map" RootElement="DataList" SchemaID="Schema1" ShowImportExportValidationErrors="false" AutoFit="false" Append="false" PreserveSortAFLayout="false" PreserveFormat="fals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xmlMaps" Target="xmlMap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nav\OdlaGeneral\&#197;bningsposter%20fra%20per\Leverand&#248;rtilrettet.xlsx" TargetMode="External"/><Relationship Id="rId1" Type="http://schemas.openxmlformats.org/officeDocument/2006/relationships/externalLinkPath" Target="Leverand&#248;rtilrett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skladdelinje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3:O115" tableType="xml" totalsRowShown="0" connectionId="2">
  <autoFilter ref="A3:O115" xr:uid="{00000000-0009-0000-0100-000005000000}"/>
  <tableColumns count="15">
    <tableColumn id="1" xr3:uid="{00000000-0010-0000-0000-000001000000}" uniqueName="Kladdetypenavn" name="Kladdetypenavn" dataDxfId="9">
      <xmlColumnPr mapId="1" xpath="/DataList/FinanskladdelinjeList/Finanskladdelinje/JournalTemplateName" xmlDataType="string"/>
    </tableColumn>
    <tableColumn id="2" xr3:uid="{00000000-0010-0000-0000-000002000000}" uniqueName="Kladdenavn" name="Kladdenavn" dataDxfId="8">
      <xmlColumnPr mapId="1" xpath="/DataList/FinanskladdelinjeList/Finanskladdelinje/JournalBatchName" xmlDataType="string"/>
    </tableColumn>
    <tableColumn id="3" xr3:uid="{00000000-0010-0000-0000-000003000000}" uniqueName="Linjenr" name="Linjenr." dataDxfId="7">
      <xmlColumnPr mapId="1" xpath="/DataList/FinanskladdelinjeList/Finanskladdelinje/LineNo" xmlDataType="integer"/>
    </tableColumn>
    <tableColumn id="4" xr3:uid="{00000000-0010-0000-0000-000004000000}" uniqueName="Kontotype" name="Kontotype" dataDxfId="6">
      <xmlColumnPr mapId="1" xpath="/DataList/FinanskladdelinjeList/Finanskladdelinje/AccountType" xmlDataType="string"/>
    </tableColumn>
    <tableColumn id="5" xr3:uid="{00000000-0010-0000-0000-000005000000}" uniqueName="Kontonr" name="Kontonr." dataDxfId="5">
      <xmlColumnPr mapId="1" xpath="/DataList/FinanskladdelinjeList/Finanskladdelinje/AccountNo" xmlDataType="string"/>
    </tableColumn>
    <tableColumn id="6" xr3:uid="{00000000-0010-0000-0000-000006000000}" uniqueName="Beskrivelse" name="Beskrivelse">
      <xmlColumnPr mapId="1" xpath="/DataList/FinanskladdelinjeList/Finanskladdelinje/Description" xmlDataType="string"/>
    </tableColumn>
    <tableColumn id="7" xr3:uid="{00000000-0010-0000-0000-000007000000}" uniqueName="Bilagstype" name="Bilagstype">
      <xmlColumnPr mapId="1" xpath="/DataList/FinanskladdelinjeList/Finanskladdelinje/DocumentType" xmlDataType="string"/>
    </tableColumn>
    <tableColumn id="8" xr3:uid="{00000000-0010-0000-0000-000008000000}" uniqueName="Bilagsnr" name="Bilagsnr.">
      <xmlColumnPr mapId="1" xpath="/DataList/FinanskladdelinjeList/Finanskladdelinje/DocumentNo" xmlDataType="string"/>
    </tableColumn>
    <tableColumn id="9" xr3:uid="{00000000-0010-0000-0000-000009000000}" uniqueName="Bogføringsdato" name="Bogføringsdato" dataDxfId="4">
      <xmlColumnPr mapId="1" xpath="/DataList/FinanskladdelinjeList/Finanskladdelinje/PostingDate" xmlDataType="date"/>
    </tableColumn>
    <tableColumn id="10" xr3:uid="{00000000-0010-0000-0000-00000A000000}" uniqueName="Forfaldsdato" name="Forfaldsdato" dataDxfId="3">
      <xmlColumnPr mapId="1" xpath="/DataList/FinanskladdelinjeList/Finanskladdelinje/DueDate" xmlDataType="date"/>
    </tableColumn>
    <tableColumn id="11" xr3:uid="{00000000-0010-0000-0000-00000B000000}" uniqueName="Dinreference" name="Din reference">
      <xmlColumnPr mapId="1" xpath="/DataList/FinanskladdelinjeList/Finanskladdelinje/YourReference" xmlDataType="string"/>
    </tableColumn>
    <tableColumn id="12" xr3:uid="{00000000-0010-0000-0000-00000C000000}" uniqueName="Valutakode" name="Valutakode">
      <xmlColumnPr mapId="1" xpath="/DataList/FinanskladdelinjeList/Finanskladdelinje/CurrencyCode" xmlDataType="string"/>
    </tableColumn>
    <tableColumn id="13" xr3:uid="{00000000-0010-0000-0000-00000D000000}" uniqueName="Valutafaktor" name="Valutafaktor" dataDxfId="2" dataCellStyle="Komma">
      <calculatedColumnFormula>[1]!Table5[[#This Row],[Beløb]]/[1]!Table5[[#This Row],[Beløb (RV)]]</calculatedColumnFormula>
      <xmlColumnPr mapId="1" xpath="/DataList/FinanskladdelinjeList/Finanskladdelinje/CurrencyFactor" xmlDataType="string"/>
    </tableColumn>
    <tableColumn id="14" xr3:uid="{00000000-0010-0000-0000-00000E000000}" uniqueName="Beløb" name="Beløb" dataDxfId="1" dataCellStyle="Komma">
      <xmlColumnPr mapId="1" xpath="/DataList/FinanskladdelinjeList/Finanskladdelinje/Amount" xmlDataType="string"/>
    </tableColumn>
    <tableColumn id="15" xr3:uid="{00000000-0010-0000-0000-00000F000000}" uniqueName="BeløbRV" name="Beløb (RV)" dataDxfId="0" dataCellStyle="Komma">
      <xmlColumnPr mapId="1" xpath="/DataList/FinanskladdelinjeList/Finanskladdelinje/AmountLCY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" xr6:uid="{00000000-000C-0000-FFFF-FFFF01000000}" r="A1" connectionId="2">
    <xmlCellPr id="1" xr6:uid="{00000000-0010-0000-0100-000001000000}" uniqueName="3">
      <xmlPr mapId="1" xpath="/DataList/FinanskladdelinjeList/PackageCode" xmlDataType="string"/>
    </xmlCellPr>
  </singleXmlCell>
  <singleXmlCell id="4" xr6:uid="{00000000-000C-0000-FFFF-FFFF02000000}" r="C1" connectionId="2">
    <xmlCellPr id="1" xr6:uid="{00000000-0010-0000-0200-000001000000}" uniqueName="4">
      <xmlPr mapId="1" xpath="/DataList/FinanskladdelinjeList/TableID" xmlDataType="string"/>
    </xmlCellPr>
  </singleXmlCell>
</singleXmlCell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tableSingleCells" Target="../tables/tableSingleCells1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5"/>
  <sheetViews>
    <sheetView tabSelected="1" workbookViewId="0">
      <selection activeCell="T13" sqref="T13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</row>
    <row r="3" spans="1:15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</row>
    <row r="4" spans="1:15" x14ac:dyDescent="0.25">
      <c r="A4" s="1" t="s">
        <v>18</v>
      </c>
      <c r="B4" s="1" t="s">
        <v>57</v>
      </c>
      <c r="C4" s="1" t="s">
        <v>58</v>
      </c>
      <c r="D4" s="1" t="s">
        <v>59</v>
      </c>
      <c r="E4" s="2" t="s">
        <v>62</v>
      </c>
      <c r="F4" t="s">
        <v>63</v>
      </c>
      <c r="G4" t="s">
        <v>19</v>
      </c>
      <c r="H4">
        <v>2686</v>
      </c>
      <c r="I4" s="3">
        <v>45987</v>
      </c>
      <c r="J4" s="3">
        <v>46017</v>
      </c>
      <c r="K4" t="s">
        <v>64</v>
      </c>
      <c r="L4" t="s">
        <v>65</v>
      </c>
      <c r="M4" s="4">
        <f>[1]!Table5[[#This Row],[Beløb]]/[1]!Table5[[#This Row],[Beløb (RV)]]</f>
        <v>1</v>
      </c>
      <c r="N4" s="4">
        <v>23111</v>
      </c>
      <c r="O4" s="4">
        <v>23111</v>
      </c>
    </row>
    <row r="5" spans="1:15" x14ac:dyDescent="0.25">
      <c r="A5" s="1" t="s">
        <v>18</v>
      </c>
      <c r="B5" s="1" t="s">
        <v>57</v>
      </c>
      <c r="C5" s="1" t="s">
        <v>20</v>
      </c>
      <c r="D5" s="1" t="s">
        <v>59</v>
      </c>
      <c r="E5" s="5" t="s">
        <v>66</v>
      </c>
      <c r="F5" t="s">
        <v>67</v>
      </c>
      <c r="G5" t="s">
        <v>19</v>
      </c>
      <c r="H5">
        <v>2511</v>
      </c>
      <c r="I5" s="3">
        <v>45925</v>
      </c>
      <c r="J5" s="3">
        <v>45955</v>
      </c>
      <c r="K5" t="s">
        <v>68</v>
      </c>
      <c r="L5" t="s">
        <v>65</v>
      </c>
      <c r="M5" s="4">
        <f>[1]!Table5[[#This Row],[Beløb]]/[1]!Table5[[#This Row],[Beløb (RV)]]</f>
        <v>1</v>
      </c>
      <c r="N5" s="4">
        <v>-2666</v>
      </c>
      <c r="O5" s="4">
        <v>-2666</v>
      </c>
    </row>
    <row r="6" spans="1:15" x14ac:dyDescent="0.25">
      <c r="A6" s="1" t="s">
        <v>18</v>
      </c>
      <c r="B6" s="1" t="s">
        <v>57</v>
      </c>
      <c r="C6" s="1" t="s">
        <v>21</v>
      </c>
      <c r="D6" s="1" t="s">
        <v>59</v>
      </c>
      <c r="E6" s="5" t="s">
        <v>66</v>
      </c>
      <c r="F6" t="s">
        <v>67</v>
      </c>
      <c r="G6" t="s">
        <v>19</v>
      </c>
      <c r="H6">
        <v>2679</v>
      </c>
      <c r="I6" s="3">
        <v>45985</v>
      </c>
      <c r="J6" s="3">
        <v>46015</v>
      </c>
      <c r="K6" t="s">
        <v>69</v>
      </c>
      <c r="L6" t="s">
        <v>65</v>
      </c>
      <c r="M6" s="4">
        <f>[1]!Table5[[#This Row],[Beløb]]/[1]!Table5[[#This Row],[Beløb (RV)]]</f>
        <v>1</v>
      </c>
      <c r="N6" s="4">
        <v>4815</v>
      </c>
      <c r="O6" s="4">
        <v>4815</v>
      </c>
    </row>
    <row r="7" spans="1:15" x14ac:dyDescent="0.25">
      <c r="A7" s="1" t="s">
        <v>18</v>
      </c>
      <c r="B7" s="1" t="s">
        <v>57</v>
      </c>
      <c r="C7" s="1" t="s">
        <v>22</v>
      </c>
      <c r="D7" s="1" t="s">
        <v>59</v>
      </c>
      <c r="E7" s="2" t="s">
        <v>70</v>
      </c>
      <c r="F7" t="s">
        <v>71</v>
      </c>
      <c r="G7" t="s">
        <v>19</v>
      </c>
      <c r="H7">
        <v>2622</v>
      </c>
      <c r="I7" s="3">
        <v>45961</v>
      </c>
      <c r="J7" s="3">
        <v>46021</v>
      </c>
      <c r="K7" t="s">
        <v>72</v>
      </c>
      <c r="L7" t="s">
        <v>65</v>
      </c>
      <c r="M7" s="4">
        <f>[1]!Table5[[#This Row],[Beløb]]/[1]!Table5[[#This Row],[Beløb (RV)]]</f>
        <v>1</v>
      </c>
      <c r="N7" s="4">
        <v>45912.03</v>
      </c>
      <c r="O7" s="4">
        <v>45912.03</v>
      </c>
    </row>
    <row r="8" spans="1:15" x14ac:dyDescent="0.25">
      <c r="A8" s="1" t="s">
        <v>18</v>
      </c>
      <c r="B8" s="1" t="s">
        <v>57</v>
      </c>
      <c r="C8" s="1" t="s">
        <v>23</v>
      </c>
      <c r="D8" s="1" t="s">
        <v>59</v>
      </c>
      <c r="E8" s="2" t="s">
        <v>70</v>
      </c>
      <c r="F8" t="s">
        <v>71</v>
      </c>
      <c r="G8" t="s">
        <v>19</v>
      </c>
      <c r="H8">
        <v>2650</v>
      </c>
      <c r="I8" s="3">
        <v>45968</v>
      </c>
      <c r="J8" s="3">
        <v>46028</v>
      </c>
      <c r="K8" t="s">
        <v>73</v>
      </c>
      <c r="L8" t="s">
        <v>65</v>
      </c>
      <c r="M8" s="4">
        <f>[1]!Table5[[#This Row],[Beløb]]/[1]!Table5[[#This Row],[Beløb (RV)]]</f>
        <v>1</v>
      </c>
      <c r="N8" s="4">
        <v>40565.78</v>
      </c>
      <c r="O8" s="4">
        <v>40565.78</v>
      </c>
    </row>
    <row r="9" spans="1:15" x14ac:dyDescent="0.25">
      <c r="A9" s="1" t="s">
        <v>18</v>
      </c>
      <c r="B9" s="1" t="s">
        <v>57</v>
      </c>
      <c r="C9" s="1" t="s">
        <v>24</v>
      </c>
      <c r="D9" s="1" t="s">
        <v>59</v>
      </c>
      <c r="E9" s="2" t="s">
        <v>70</v>
      </c>
      <c r="F9" t="s">
        <v>71</v>
      </c>
      <c r="G9" t="s">
        <v>19</v>
      </c>
      <c r="H9">
        <v>2694</v>
      </c>
      <c r="I9" s="3">
        <v>45989</v>
      </c>
      <c r="J9" s="3">
        <v>46049</v>
      </c>
      <c r="K9" t="s">
        <v>74</v>
      </c>
      <c r="L9" t="s">
        <v>65</v>
      </c>
      <c r="M9" s="4">
        <f>[1]!Table5[[#This Row],[Beløb]]/[1]!Table5[[#This Row],[Beløb (RV)]]</f>
        <v>1</v>
      </c>
      <c r="N9" s="4">
        <v>41082.980000000003</v>
      </c>
      <c r="O9" s="4">
        <v>41082.980000000003</v>
      </c>
    </row>
    <row r="10" spans="1:15" x14ac:dyDescent="0.25">
      <c r="A10" s="1" t="s">
        <v>18</v>
      </c>
      <c r="B10" s="1" t="s">
        <v>57</v>
      </c>
      <c r="C10" s="1" t="s">
        <v>25</v>
      </c>
      <c r="D10" s="1" t="s">
        <v>59</v>
      </c>
      <c r="E10" s="5" t="s">
        <v>75</v>
      </c>
      <c r="F10" t="s">
        <v>76</v>
      </c>
      <c r="G10" t="s">
        <v>19</v>
      </c>
      <c r="H10">
        <v>2678</v>
      </c>
      <c r="I10" s="3">
        <v>45982</v>
      </c>
      <c r="J10" s="3">
        <v>46012</v>
      </c>
      <c r="K10" t="s">
        <v>77</v>
      </c>
      <c r="L10" t="s">
        <v>65</v>
      </c>
      <c r="M10" s="4">
        <f>[1]!Table5[[#This Row],[Beløb]]/[1]!Table5[[#This Row],[Beløb (RV)]]</f>
        <v>1</v>
      </c>
      <c r="N10" s="4">
        <v>2495</v>
      </c>
      <c r="O10" s="4">
        <v>2495</v>
      </c>
    </row>
    <row r="11" spans="1:15" x14ac:dyDescent="0.25">
      <c r="A11" s="1" t="s">
        <v>18</v>
      </c>
      <c r="B11" s="1" t="s">
        <v>57</v>
      </c>
      <c r="C11" s="1" t="s">
        <v>26</v>
      </c>
      <c r="D11" s="1" t="s">
        <v>59</v>
      </c>
      <c r="E11" s="2" t="s">
        <v>78</v>
      </c>
      <c r="F11" t="s">
        <v>79</v>
      </c>
      <c r="G11" t="s">
        <v>19</v>
      </c>
      <c r="H11">
        <v>2671</v>
      </c>
      <c r="I11" s="3">
        <v>45981</v>
      </c>
      <c r="J11" s="3">
        <v>46011</v>
      </c>
      <c r="K11" t="s">
        <v>80</v>
      </c>
      <c r="L11" t="s">
        <v>65</v>
      </c>
      <c r="M11" s="4">
        <f>[1]!Table5[[#This Row],[Beløb]]/[1]!Table5[[#This Row],[Beløb (RV)]]</f>
        <v>1</v>
      </c>
      <c r="N11" s="4">
        <v>6697</v>
      </c>
      <c r="O11" s="4">
        <v>6697</v>
      </c>
    </row>
    <row r="12" spans="1:15" x14ac:dyDescent="0.25">
      <c r="A12" s="1" t="s">
        <v>18</v>
      </c>
      <c r="B12" s="1" t="s">
        <v>57</v>
      </c>
      <c r="C12" s="1" t="s">
        <v>27</v>
      </c>
      <c r="D12" s="1" t="s">
        <v>59</v>
      </c>
      <c r="E12" s="2" t="s">
        <v>78</v>
      </c>
      <c r="F12" t="s">
        <v>79</v>
      </c>
      <c r="G12" t="s">
        <v>19</v>
      </c>
      <c r="H12">
        <v>2682</v>
      </c>
      <c r="I12" s="3">
        <v>45986</v>
      </c>
      <c r="J12" s="3">
        <v>46016</v>
      </c>
      <c r="K12" t="s">
        <v>81</v>
      </c>
      <c r="L12" t="s">
        <v>65</v>
      </c>
      <c r="M12" s="4">
        <f>[1]!Table5[[#This Row],[Beløb]]/[1]!Table5[[#This Row],[Beløb (RV)]]</f>
        <v>1</v>
      </c>
      <c r="N12" s="4">
        <v>4054</v>
      </c>
      <c r="O12" s="4">
        <v>4054</v>
      </c>
    </row>
    <row r="13" spans="1:15" x14ac:dyDescent="0.25">
      <c r="A13" s="1" t="s">
        <v>18</v>
      </c>
      <c r="B13" s="1" t="s">
        <v>57</v>
      </c>
      <c r="C13" s="1" t="s">
        <v>28</v>
      </c>
      <c r="D13" s="1" t="s">
        <v>59</v>
      </c>
      <c r="E13" s="2" t="s">
        <v>82</v>
      </c>
      <c r="F13" t="s">
        <v>83</v>
      </c>
      <c r="G13" t="s">
        <v>19</v>
      </c>
      <c r="H13">
        <v>2722</v>
      </c>
      <c r="I13" s="3">
        <v>45985</v>
      </c>
      <c r="J13" s="3">
        <v>46015</v>
      </c>
      <c r="K13" t="s">
        <v>84</v>
      </c>
      <c r="L13" t="s">
        <v>65</v>
      </c>
      <c r="M13" s="4">
        <f>[1]!Table5[[#This Row],[Beløb]]/[1]!Table5[[#This Row],[Beløb (RV)]]</f>
        <v>1</v>
      </c>
      <c r="N13" s="4">
        <v>7369</v>
      </c>
      <c r="O13" s="4">
        <v>7369</v>
      </c>
    </row>
    <row r="14" spans="1:15" x14ac:dyDescent="0.25">
      <c r="A14" s="1" t="s">
        <v>18</v>
      </c>
      <c r="B14" s="1" t="s">
        <v>57</v>
      </c>
      <c r="C14" s="1" t="s">
        <v>29</v>
      </c>
      <c r="D14" s="1" t="s">
        <v>59</v>
      </c>
      <c r="E14" s="2" t="s">
        <v>85</v>
      </c>
      <c r="F14" t="s">
        <v>86</v>
      </c>
      <c r="G14" t="s">
        <v>19</v>
      </c>
      <c r="H14">
        <v>2714</v>
      </c>
      <c r="I14" s="3">
        <v>45989</v>
      </c>
      <c r="J14" s="3">
        <v>46019</v>
      </c>
      <c r="K14" t="s">
        <v>87</v>
      </c>
      <c r="L14" t="s">
        <v>65</v>
      </c>
      <c r="M14" s="4">
        <f>[1]!Table5[[#This Row],[Beløb]]/[1]!Table5[[#This Row],[Beløb (RV)]]</f>
        <v>1</v>
      </c>
      <c r="N14" s="6">
        <v>934</v>
      </c>
      <c r="O14" s="6">
        <v>934</v>
      </c>
    </row>
    <row r="15" spans="1:15" x14ac:dyDescent="0.25">
      <c r="A15" s="1" t="s">
        <v>18</v>
      </c>
      <c r="B15" s="1" t="s">
        <v>57</v>
      </c>
      <c r="C15" s="1" t="s">
        <v>30</v>
      </c>
      <c r="D15" s="1" t="s">
        <v>59</v>
      </c>
      <c r="E15" s="5" t="s">
        <v>88</v>
      </c>
      <c r="F15" t="s">
        <v>89</v>
      </c>
      <c r="G15" t="s">
        <v>19</v>
      </c>
      <c r="H15">
        <v>2698</v>
      </c>
      <c r="I15" s="3">
        <v>45989</v>
      </c>
      <c r="J15" s="3">
        <v>46019</v>
      </c>
      <c r="K15" t="s">
        <v>90</v>
      </c>
      <c r="L15" t="s">
        <v>65</v>
      </c>
      <c r="M15" s="4">
        <f>[1]!Table5[[#This Row],[Beløb]]/[1]!Table5[[#This Row],[Beløb (RV)]]</f>
        <v>1</v>
      </c>
      <c r="N15" s="6">
        <v>212</v>
      </c>
      <c r="O15" s="6">
        <v>212</v>
      </c>
    </row>
    <row r="16" spans="1:15" x14ac:dyDescent="0.25">
      <c r="A16" s="1" t="s">
        <v>18</v>
      </c>
      <c r="B16" s="1" t="s">
        <v>57</v>
      </c>
      <c r="C16" s="1" t="s">
        <v>31</v>
      </c>
      <c r="D16" s="1" t="s">
        <v>59</v>
      </c>
      <c r="E16" s="2" t="s">
        <v>91</v>
      </c>
      <c r="F16" t="s">
        <v>92</v>
      </c>
      <c r="G16" t="s">
        <v>19</v>
      </c>
      <c r="H16">
        <v>2168</v>
      </c>
      <c r="I16" s="3">
        <v>45809</v>
      </c>
      <c r="J16" s="3">
        <v>45839</v>
      </c>
      <c r="K16" t="s">
        <v>93</v>
      </c>
      <c r="L16" t="s">
        <v>65</v>
      </c>
      <c r="M16" s="4">
        <f>[1]!Table5[[#This Row],[Beløb]]/[1]!Table5[[#This Row],[Beløb (RV)]]</f>
        <v>1</v>
      </c>
      <c r="N16" s="4">
        <v>-4797.6000000000004</v>
      </c>
      <c r="O16" s="4">
        <v>-4797.6000000000004</v>
      </c>
    </row>
    <row r="17" spans="1:15" x14ac:dyDescent="0.25">
      <c r="A17" s="1" t="s">
        <v>18</v>
      </c>
      <c r="B17" s="1" t="s">
        <v>57</v>
      </c>
      <c r="C17" s="1" t="s">
        <v>32</v>
      </c>
      <c r="D17" s="1" t="s">
        <v>59</v>
      </c>
      <c r="E17" s="2" t="s">
        <v>91</v>
      </c>
      <c r="F17" t="s">
        <v>92</v>
      </c>
      <c r="G17" t="s">
        <v>19</v>
      </c>
      <c r="H17">
        <v>2169</v>
      </c>
      <c r="I17" s="3">
        <v>45809</v>
      </c>
      <c r="J17" s="3">
        <v>45839</v>
      </c>
      <c r="K17" t="s">
        <v>94</v>
      </c>
      <c r="L17" t="s">
        <v>65</v>
      </c>
      <c r="M17" s="4">
        <f>[1]!Table5[[#This Row],[Beløb]]/[1]!Table5[[#This Row],[Beløb (RV)]]</f>
        <v>1</v>
      </c>
      <c r="N17" s="4">
        <v>-227.24</v>
      </c>
      <c r="O17" s="4">
        <v>-227.24</v>
      </c>
    </row>
    <row r="18" spans="1:15" x14ac:dyDescent="0.25">
      <c r="A18" s="1" t="s">
        <v>18</v>
      </c>
      <c r="B18" s="1" t="s">
        <v>57</v>
      </c>
      <c r="C18" s="1" t="s">
        <v>33</v>
      </c>
      <c r="D18" s="1" t="s">
        <v>59</v>
      </c>
      <c r="E18" s="2" t="s">
        <v>91</v>
      </c>
      <c r="F18" t="s">
        <v>92</v>
      </c>
      <c r="G18" t="s">
        <v>19</v>
      </c>
      <c r="H18">
        <v>2192</v>
      </c>
      <c r="I18" s="3">
        <v>45834</v>
      </c>
      <c r="J18" s="3">
        <v>45834</v>
      </c>
      <c r="K18" t="s">
        <v>95</v>
      </c>
      <c r="L18" t="s">
        <v>65</v>
      </c>
      <c r="M18" s="4">
        <f>[1]!Table5[[#This Row],[Beløb]]/[1]!Table5[[#This Row],[Beløb (RV)]]</f>
        <v>1</v>
      </c>
      <c r="N18" s="4">
        <v>-1074.43</v>
      </c>
      <c r="O18" s="4">
        <v>-1074.43</v>
      </c>
    </row>
    <row r="19" spans="1:15" x14ac:dyDescent="0.25">
      <c r="A19" s="1" t="s">
        <v>18</v>
      </c>
      <c r="B19" s="1" t="s">
        <v>57</v>
      </c>
      <c r="C19" s="1" t="s">
        <v>34</v>
      </c>
      <c r="D19" s="1" t="s">
        <v>59</v>
      </c>
      <c r="E19" s="2" t="s">
        <v>91</v>
      </c>
      <c r="F19" t="s">
        <v>92</v>
      </c>
      <c r="G19" t="s">
        <v>19</v>
      </c>
      <c r="H19">
        <v>2202</v>
      </c>
      <c r="I19" s="3">
        <v>45838</v>
      </c>
      <c r="J19" s="3">
        <v>45838</v>
      </c>
      <c r="K19" t="s">
        <v>96</v>
      </c>
      <c r="L19" t="s">
        <v>65</v>
      </c>
      <c r="M19" s="4">
        <f>[1]!Table5[[#This Row],[Beløb]]/[1]!Table5[[#This Row],[Beløb (RV)]]</f>
        <v>1</v>
      </c>
      <c r="N19" s="4">
        <v>-910.8</v>
      </c>
      <c r="O19" s="4">
        <v>-910.8</v>
      </c>
    </row>
    <row r="20" spans="1:15" x14ac:dyDescent="0.25">
      <c r="A20" s="1" t="s">
        <v>18</v>
      </c>
      <c r="B20" s="1" t="s">
        <v>57</v>
      </c>
      <c r="C20" s="1" t="s">
        <v>35</v>
      </c>
      <c r="D20" s="1" t="s">
        <v>59</v>
      </c>
      <c r="E20" s="2" t="s">
        <v>91</v>
      </c>
      <c r="F20" t="s">
        <v>92</v>
      </c>
      <c r="G20" t="s">
        <v>19</v>
      </c>
      <c r="H20">
        <v>2677</v>
      </c>
      <c r="I20" s="3">
        <v>45985</v>
      </c>
      <c r="J20" s="3">
        <v>46015</v>
      </c>
      <c r="K20" t="s">
        <v>97</v>
      </c>
      <c r="L20" t="s">
        <v>65</v>
      </c>
      <c r="M20" s="4">
        <f>[1]!Table5[[#This Row],[Beløb]]/[1]!Table5[[#This Row],[Beløb (RV)]]</f>
        <v>1</v>
      </c>
      <c r="N20" s="4">
        <v>3157.84</v>
      </c>
      <c r="O20" s="4">
        <v>3157.84</v>
      </c>
    </row>
    <row r="21" spans="1:15" x14ac:dyDescent="0.25">
      <c r="A21" s="1" t="s">
        <v>18</v>
      </c>
      <c r="B21" s="1" t="s">
        <v>57</v>
      </c>
      <c r="C21" s="1" t="s">
        <v>36</v>
      </c>
      <c r="D21" s="1" t="s">
        <v>59</v>
      </c>
      <c r="E21" s="2" t="s">
        <v>91</v>
      </c>
      <c r="F21" t="s">
        <v>92</v>
      </c>
      <c r="G21" t="s">
        <v>19</v>
      </c>
      <c r="H21">
        <v>2692</v>
      </c>
      <c r="I21" s="3">
        <v>45989</v>
      </c>
      <c r="J21" s="3">
        <v>46019</v>
      </c>
      <c r="K21" t="s">
        <v>98</v>
      </c>
      <c r="L21" t="s">
        <v>65</v>
      </c>
      <c r="M21" s="4">
        <f>[1]!Table5[[#This Row],[Beløb]]/[1]!Table5[[#This Row],[Beløb (RV)]]</f>
        <v>1</v>
      </c>
      <c r="N21" s="4">
        <v>3327.36</v>
      </c>
      <c r="O21" s="4">
        <v>3327.36</v>
      </c>
    </row>
    <row r="22" spans="1:15" x14ac:dyDescent="0.25">
      <c r="A22" s="1" t="s">
        <v>18</v>
      </c>
      <c r="B22" s="1" t="s">
        <v>57</v>
      </c>
      <c r="C22" s="1" t="s">
        <v>37</v>
      </c>
      <c r="D22" s="1" t="s">
        <v>59</v>
      </c>
      <c r="E22" s="2" t="s">
        <v>91</v>
      </c>
      <c r="F22" t="s">
        <v>92</v>
      </c>
      <c r="G22" t="s">
        <v>19</v>
      </c>
      <c r="H22">
        <v>2695</v>
      </c>
      <c r="I22" s="3">
        <v>45991</v>
      </c>
      <c r="J22" s="3">
        <v>46021</v>
      </c>
      <c r="K22" t="s">
        <v>99</v>
      </c>
      <c r="L22" t="s">
        <v>65</v>
      </c>
      <c r="M22" s="4">
        <f>[1]!Table5[[#This Row],[Beløb]]/[1]!Table5[[#This Row],[Beløb (RV)]]</f>
        <v>1</v>
      </c>
      <c r="N22" s="4">
        <v>1237.5</v>
      </c>
      <c r="O22" s="4">
        <v>1237.5</v>
      </c>
    </row>
    <row r="23" spans="1:15" x14ac:dyDescent="0.25">
      <c r="A23" s="1" t="s">
        <v>18</v>
      </c>
      <c r="B23" s="1" t="s">
        <v>57</v>
      </c>
      <c r="C23" s="1" t="s">
        <v>38</v>
      </c>
      <c r="D23" s="1" t="s">
        <v>59</v>
      </c>
      <c r="E23" s="2" t="s">
        <v>91</v>
      </c>
      <c r="F23" t="s">
        <v>92</v>
      </c>
      <c r="G23" t="s">
        <v>19</v>
      </c>
      <c r="H23">
        <v>2703</v>
      </c>
      <c r="I23" s="3">
        <v>45993</v>
      </c>
      <c r="J23" s="3">
        <v>46023</v>
      </c>
      <c r="K23" t="s">
        <v>100</v>
      </c>
      <c r="L23" t="s">
        <v>65</v>
      </c>
      <c r="M23" s="4">
        <f>[1]!Table5[[#This Row],[Beløb]]/[1]!Table5[[#This Row],[Beløb (RV)]]</f>
        <v>1</v>
      </c>
      <c r="N23" s="4">
        <v>320.48</v>
      </c>
      <c r="O23" s="4">
        <v>320.48</v>
      </c>
    </row>
    <row r="24" spans="1:15" x14ac:dyDescent="0.25">
      <c r="A24" s="1" t="s">
        <v>18</v>
      </c>
      <c r="B24" s="1" t="s">
        <v>57</v>
      </c>
      <c r="C24" s="1" t="s">
        <v>39</v>
      </c>
      <c r="D24" s="1" t="s">
        <v>59</v>
      </c>
      <c r="E24" s="2" t="s">
        <v>91</v>
      </c>
      <c r="F24" t="s">
        <v>92</v>
      </c>
      <c r="G24" t="s">
        <v>19</v>
      </c>
      <c r="H24">
        <v>2705</v>
      </c>
      <c r="I24" s="3">
        <v>45993</v>
      </c>
      <c r="J24" s="3">
        <v>46023</v>
      </c>
      <c r="K24" t="s">
        <v>101</v>
      </c>
      <c r="L24" t="s">
        <v>65</v>
      </c>
      <c r="M24" s="4">
        <f>[1]!Table5[[#This Row],[Beløb]]/[1]!Table5[[#This Row],[Beløb (RV)]]</f>
        <v>1</v>
      </c>
      <c r="N24" s="4">
        <v>342</v>
      </c>
      <c r="O24" s="4">
        <v>342</v>
      </c>
    </row>
    <row r="25" spans="1:15" x14ac:dyDescent="0.25">
      <c r="A25" s="1" t="s">
        <v>18</v>
      </c>
      <c r="B25" s="1" t="s">
        <v>57</v>
      </c>
      <c r="C25" s="1" t="s">
        <v>40</v>
      </c>
      <c r="D25" s="1" t="s">
        <v>59</v>
      </c>
      <c r="E25" s="2" t="s">
        <v>102</v>
      </c>
      <c r="F25" t="s">
        <v>103</v>
      </c>
      <c r="G25" t="s">
        <v>19</v>
      </c>
      <c r="H25">
        <v>2706</v>
      </c>
      <c r="I25" s="3">
        <v>45993</v>
      </c>
      <c r="J25" s="3">
        <v>46023</v>
      </c>
      <c r="K25" t="s">
        <v>104</v>
      </c>
      <c r="L25" t="s">
        <v>65</v>
      </c>
      <c r="M25" s="4">
        <f>[1]!Table5[[#This Row],[Beløb]]/[1]!Table5[[#This Row],[Beløb (RV)]]</f>
        <v>1</v>
      </c>
      <c r="N25" s="4">
        <v>2887</v>
      </c>
      <c r="O25" s="4">
        <v>2887</v>
      </c>
    </row>
    <row r="26" spans="1:15" x14ac:dyDescent="0.25">
      <c r="A26" s="1" t="s">
        <v>18</v>
      </c>
      <c r="B26" s="1" t="s">
        <v>57</v>
      </c>
      <c r="C26" s="1" t="s">
        <v>41</v>
      </c>
      <c r="D26" s="1" t="s">
        <v>59</v>
      </c>
      <c r="E26" s="2" t="s">
        <v>105</v>
      </c>
      <c r="F26" t="s">
        <v>106</v>
      </c>
      <c r="G26" t="s">
        <v>19</v>
      </c>
      <c r="H26">
        <v>2712</v>
      </c>
      <c r="I26" s="3">
        <v>45995</v>
      </c>
      <c r="J26" s="3">
        <v>46002</v>
      </c>
      <c r="K26" t="s">
        <v>107</v>
      </c>
      <c r="L26" t="s">
        <v>65</v>
      </c>
      <c r="M26" s="4">
        <f>[1]!Table5[[#This Row],[Beløb]]/[1]!Table5[[#This Row],[Beløb (RV)]]</f>
        <v>1</v>
      </c>
      <c r="N26" s="4">
        <v>123972.58</v>
      </c>
      <c r="O26" s="4">
        <v>123972.58</v>
      </c>
    </row>
    <row r="27" spans="1:15" x14ac:dyDescent="0.25">
      <c r="A27" s="1" t="s">
        <v>18</v>
      </c>
      <c r="B27" s="1" t="s">
        <v>57</v>
      </c>
      <c r="C27" s="1" t="s">
        <v>42</v>
      </c>
      <c r="D27" s="1" t="s">
        <v>59</v>
      </c>
      <c r="E27" s="2" t="s">
        <v>108</v>
      </c>
      <c r="F27" t="s">
        <v>109</v>
      </c>
      <c r="G27" t="s">
        <v>19</v>
      </c>
      <c r="H27">
        <v>2709</v>
      </c>
      <c r="I27" s="3">
        <v>45994</v>
      </c>
      <c r="J27" s="3">
        <v>46024</v>
      </c>
      <c r="K27" t="s">
        <v>110</v>
      </c>
      <c r="L27" t="s">
        <v>65</v>
      </c>
      <c r="M27" s="4">
        <f>[1]!Table5[[#This Row],[Beløb]]/[1]!Table5[[#This Row],[Beløb (RV)]]</f>
        <v>1</v>
      </c>
      <c r="N27" s="4">
        <v>1439</v>
      </c>
      <c r="O27" s="4">
        <v>1439</v>
      </c>
    </row>
    <row r="28" spans="1:15" x14ac:dyDescent="0.25">
      <c r="A28" s="1" t="s">
        <v>18</v>
      </c>
      <c r="B28" s="1" t="s">
        <v>57</v>
      </c>
      <c r="C28" s="1" t="s">
        <v>43</v>
      </c>
      <c r="D28" s="1" t="s">
        <v>59</v>
      </c>
      <c r="E28" s="5" t="s">
        <v>111</v>
      </c>
      <c r="F28" t="s">
        <v>112</v>
      </c>
      <c r="G28" t="s">
        <v>19</v>
      </c>
      <c r="H28">
        <v>2693</v>
      </c>
      <c r="I28" s="3">
        <v>45989</v>
      </c>
      <c r="J28" s="3">
        <v>46019</v>
      </c>
      <c r="K28" t="s">
        <v>113</v>
      </c>
      <c r="L28" t="s">
        <v>65</v>
      </c>
      <c r="M28" s="4">
        <f>[1]!Table5[[#This Row],[Beløb]]/[1]!Table5[[#This Row],[Beløb (RV)]]</f>
        <v>1</v>
      </c>
      <c r="N28" s="4">
        <v>15658</v>
      </c>
      <c r="O28" s="4">
        <v>15658</v>
      </c>
    </row>
    <row r="29" spans="1:15" x14ac:dyDescent="0.25">
      <c r="A29" s="1" t="s">
        <v>18</v>
      </c>
      <c r="B29" s="1" t="s">
        <v>57</v>
      </c>
      <c r="C29" s="1" t="s">
        <v>44</v>
      </c>
      <c r="D29" s="1" t="s">
        <v>59</v>
      </c>
      <c r="E29" s="5" t="s">
        <v>114</v>
      </c>
      <c r="F29" t="s">
        <v>115</v>
      </c>
      <c r="G29" t="s">
        <v>19</v>
      </c>
      <c r="H29">
        <v>2674</v>
      </c>
      <c r="I29" s="3">
        <v>45982</v>
      </c>
      <c r="J29" s="3">
        <v>46012</v>
      </c>
      <c r="K29" t="s">
        <v>116</v>
      </c>
      <c r="L29" t="s">
        <v>65</v>
      </c>
      <c r="M29" s="4">
        <f>[1]!Table5[[#This Row],[Beløb]]/[1]!Table5[[#This Row],[Beløb (RV)]]</f>
        <v>1</v>
      </c>
      <c r="N29" s="4">
        <v>16586</v>
      </c>
      <c r="O29" s="4">
        <v>16586</v>
      </c>
    </row>
    <row r="30" spans="1:15" x14ac:dyDescent="0.25">
      <c r="A30" s="1" t="s">
        <v>18</v>
      </c>
      <c r="B30" s="1" t="s">
        <v>57</v>
      </c>
      <c r="C30" s="1" t="s">
        <v>45</v>
      </c>
      <c r="D30" s="1" t="s">
        <v>59</v>
      </c>
      <c r="E30" s="5" t="s">
        <v>117</v>
      </c>
      <c r="F30" t="s">
        <v>118</v>
      </c>
      <c r="G30" t="s">
        <v>19</v>
      </c>
      <c r="H30">
        <v>2704</v>
      </c>
      <c r="I30" s="3">
        <v>45991</v>
      </c>
      <c r="J30" s="3">
        <v>46011</v>
      </c>
      <c r="K30" t="s">
        <v>119</v>
      </c>
      <c r="L30" t="s">
        <v>65</v>
      </c>
      <c r="M30" s="4">
        <f>[1]!Table5[[#This Row],[Beløb]]/[1]!Table5[[#This Row],[Beløb (RV)]]</f>
        <v>1</v>
      </c>
      <c r="N30" s="4">
        <v>5490.63</v>
      </c>
      <c r="O30" s="4">
        <v>5490.63</v>
      </c>
    </row>
    <row r="31" spans="1:15" x14ac:dyDescent="0.25">
      <c r="A31" s="1" t="s">
        <v>18</v>
      </c>
      <c r="B31" s="1" t="s">
        <v>57</v>
      </c>
      <c r="C31" s="1" t="s">
        <v>46</v>
      </c>
      <c r="D31" s="1" t="s">
        <v>59</v>
      </c>
      <c r="E31" s="2" t="s">
        <v>120</v>
      </c>
      <c r="F31" t="s">
        <v>121</v>
      </c>
      <c r="G31" t="s">
        <v>19</v>
      </c>
      <c r="H31">
        <v>2287</v>
      </c>
      <c r="I31" s="3">
        <v>45845</v>
      </c>
      <c r="J31" s="3">
        <v>45845</v>
      </c>
      <c r="K31" t="s">
        <v>122</v>
      </c>
      <c r="L31" t="s">
        <v>65</v>
      </c>
      <c r="M31" s="4">
        <f>[1]!Table5[[#This Row],[Beløb]]/[1]!Table5[[#This Row],[Beløb (RV)]]</f>
        <v>1</v>
      </c>
      <c r="N31" s="4">
        <v>-12680.13</v>
      </c>
      <c r="O31" s="4">
        <v>-12680.13</v>
      </c>
    </row>
    <row r="32" spans="1:15" x14ac:dyDescent="0.25">
      <c r="A32" s="1" t="s">
        <v>18</v>
      </c>
      <c r="B32" s="1" t="s">
        <v>57</v>
      </c>
      <c r="C32" s="1" t="s">
        <v>47</v>
      </c>
      <c r="D32" s="1" t="s">
        <v>59</v>
      </c>
      <c r="E32" s="2" t="s">
        <v>123</v>
      </c>
      <c r="F32" t="s">
        <v>124</v>
      </c>
      <c r="G32" t="s">
        <v>19</v>
      </c>
      <c r="H32">
        <v>1676</v>
      </c>
      <c r="I32" s="3">
        <v>45627</v>
      </c>
      <c r="J32" s="3">
        <v>45657</v>
      </c>
      <c r="K32" t="s">
        <v>125</v>
      </c>
      <c r="L32" t="s">
        <v>65</v>
      </c>
      <c r="M32" s="4">
        <f>[1]!Table5[[#This Row],[Beløb]]/[1]!Table5[[#This Row],[Beløb (RV)]]</f>
        <v>1</v>
      </c>
      <c r="N32" s="4">
        <v>80250</v>
      </c>
      <c r="O32" s="4">
        <v>80250</v>
      </c>
    </row>
    <row r="33" spans="1:15" x14ac:dyDescent="0.25">
      <c r="A33" s="1" t="s">
        <v>18</v>
      </c>
      <c r="B33" s="1" t="s">
        <v>57</v>
      </c>
      <c r="C33" s="1" t="s">
        <v>48</v>
      </c>
      <c r="D33" s="1" t="s">
        <v>59</v>
      </c>
      <c r="E33" s="2" t="s">
        <v>123</v>
      </c>
      <c r="F33" t="s">
        <v>124</v>
      </c>
      <c r="G33" t="s">
        <v>19</v>
      </c>
      <c r="H33">
        <v>1677</v>
      </c>
      <c r="I33" s="3">
        <v>45717</v>
      </c>
      <c r="J33" s="3">
        <v>45747</v>
      </c>
      <c r="K33" t="s">
        <v>126</v>
      </c>
      <c r="L33" t="s">
        <v>65</v>
      </c>
      <c r="M33" s="4">
        <f>[1]!Table5[[#This Row],[Beløb]]/[1]!Table5[[#This Row],[Beløb (RV)]]</f>
        <v>1</v>
      </c>
      <c r="N33" s="4">
        <v>80250</v>
      </c>
      <c r="O33" s="4">
        <v>80250</v>
      </c>
    </row>
    <row r="34" spans="1:15" x14ac:dyDescent="0.25">
      <c r="A34" s="1" t="s">
        <v>18</v>
      </c>
      <c r="B34" s="1" t="s">
        <v>57</v>
      </c>
      <c r="C34" s="1" t="s">
        <v>49</v>
      </c>
      <c r="D34" s="1" t="s">
        <v>59</v>
      </c>
      <c r="E34" s="5" t="s">
        <v>127</v>
      </c>
      <c r="F34" t="s">
        <v>128</v>
      </c>
      <c r="G34" t="s">
        <v>19</v>
      </c>
      <c r="H34">
        <v>2620</v>
      </c>
      <c r="I34" s="3">
        <v>45964</v>
      </c>
      <c r="J34" s="3">
        <v>46024</v>
      </c>
      <c r="K34" t="s">
        <v>129</v>
      </c>
      <c r="L34" t="s">
        <v>65</v>
      </c>
      <c r="M34" s="4">
        <f>[1]!Table5[[#This Row],[Beløb]]/[1]!Table5[[#This Row],[Beløb (RV)]]</f>
        <v>1</v>
      </c>
      <c r="N34" s="4">
        <v>6999</v>
      </c>
      <c r="O34" s="4">
        <v>6999</v>
      </c>
    </row>
    <row r="35" spans="1:15" x14ac:dyDescent="0.25">
      <c r="A35" s="1" t="s">
        <v>18</v>
      </c>
      <c r="B35" s="1" t="s">
        <v>57</v>
      </c>
      <c r="C35" s="1" t="s">
        <v>50</v>
      </c>
      <c r="D35" s="1" t="s">
        <v>59</v>
      </c>
      <c r="E35" s="2" t="s">
        <v>130</v>
      </c>
      <c r="F35" t="s">
        <v>131</v>
      </c>
      <c r="G35" t="s">
        <v>19</v>
      </c>
      <c r="H35">
        <v>2688</v>
      </c>
      <c r="I35" s="3">
        <v>45988</v>
      </c>
      <c r="J35" s="3">
        <v>46018</v>
      </c>
      <c r="K35" t="s">
        <v>132</v>
      </c>
      <c r="L35" t="s">
        <v>65</v>
      </c>
      <c r="M35" s="4">
        <f>[1]!Table5[[#This Row],[Beløb]]/[1]!Table5[[#This Row],[Beløb (RV)]]</f>
        <v>1</v>
      </c>
      <c r="N35" s="4">
        <v>2778.31</v>
      </c>
      <c r="O35" s="4">
        <v>2778.31</v>
      </c>
    </row>
    <row r="36" spans="1:15" x14ac:dyDescent="0.25">
      <c r="A36" s="1" t="s">
        <v>18</v>
      </c>
      <c r="B36" s="1" t="s">
        <v>57</v>
      </c>
      <c r="C36" s="1" t="s">
        <v>51</v>
      </c>
      <c r="D36" s="1" t="s">
        <v>59</v>
      </c>
      <c r="E36" s="2" t="s">
        <v>130</v>
      </c>
      <c r="F36" t="s">
        <v>131</v>
      </c>
      <c r="G36" t="s">
        <v>19</v>
      </c>
      <c r="H36">
        <v>2689</v>
      </c>
      <c r="I36" s="3">
        <v>45988</v>
      </c>
      <c r="J36" s="3">
        <v>46018</v>
      </c>
      <c r="K36" t="s">
        <v>133</v>
      </c>
      <c r="L36" t="s">
        <v>65</v>
      </c>
      <c r="M36" s="4">
        <f>[1]!Table5[[#This Row],[Beløb]]/[1]!Table5[[#This Row],[Beløb (RV)]]</f>
        <v>1</v>
      </c>
      <c r="N36" s="4">
        <v>192836.73</v>
      </c>
      <c r="O36" s="4">
        <v>192836.73</v>
      </c>
    </row>
    <row r="37" spans="1:15" x14ac:dyDescent="0.25">
      <c r="A37" s="1" t="s">
        <v>18</v>
      </c>
      <c r="B37" s="1" t="s">
        <v>57</v>
      </c>
      <c r="C37" s="1" t="s">
        <v>52</v>
      </c>
      <c r="D37" s="1" t="s">
        <v>59</v>
      </c>
      <c r="E37" s="2" t="s">
        <v>130</v>
      </c>
      <c r="F37" t="s">
        <v>131</v>
      </c>
      <c r="G37" t="s">
        <v>19</v>
      </c>
      <c r="H37">
        <v>2690</v>
      </c>
      <c r="I37" s="3">
        <v>45988</v>
      </c>
      <c r="J37" s="3">
        <v>46018</v>
      </c>
      <c r="K37" t="s">
        <v>134</v>
      </c>
      <c r="L37" t="s">
        <v>65</v>
      </c>
      <c r="M37" s="4">
        <f>[1]!Table5[[#This Row],[Beløb]]/[1]!Table5[[#This Row],[Beløb (RV)]]</f>
        <v>1</v>
      </c>
      <c r="N37" s="4">
        <v>15722.51</v>
      </c>
      <c r="O37" s="4">
        <v>15722.51</v>
      </c>
    </row>
    <row r="38" spans="1:15" x14ac:dyDescent="0.25">
      <c r="A38" s="1" t="s">
        <v>18</v>
      </c>
      <c r="B38" s="1" t="s">
        <v>57</v>
      </c>
      <c r="C38" s="1" t="s">
        <v>53</v>
      </c>
      <c r="D38" s="1" t="s">
        <v>59</v>
      </c>
      <c r="E38" s="2" t="s">
        <v>135</v>
      </c>
      <c r="F38" t="s">
        <v>136</v>
      </c>
      <c r="G38" t="s">
        <v>19</v>
      </c>
      <c r="H38">
        <v>2699</v>
      </c>
      <c r="I38" s="3">
        <v>45991</v>
      </c>
      <c r="J38" s="3">
        <v>46021</v>
      </c>
      <c r="K38" t="s">
        <v>137</v>
      </c>
      <c r="L38" t="s">
        <v>65</v>
      </c>
      <c r="M38" s="4">
        <f>[1]!Table5[[#This Row],[Beløb]]/[1]!Table5[[#This Row],[Beløb (RV)]]</f>
        <v>1</v>
      </c>
      <c r="N38" s="4">
        <v>4700</v>
      </c>
      <c r="O38" s="4">
        <v>4700</v>
      </c>
    </row>
    <row r="39" spans="1:15" x14ac:dyDescent="0.25">
      <c r="A39" s="1" t="s">
        <v>18</v>
      </c>
      <c r="B39" s="1" t="s">
        <v>57</v>
      </c>
      <c r="C39" s="1" t="s">
        <v>54</v>
      </c>
      <c r="D39" s="1" t="s">
        <v>59</v>
      </c>
      <c r="E39" s="5" t="s">
        <v>138</v>
      </c>
      <c r="F39" t="s">
        <v>139</v>
      </c>
      <c r="G39" t="s">
        <v>19</v>
      </c>
      <c r="H39">
        <v>2701</v>
      </c>
      <c r="I39" s="3">
        <v>45991</v>
      </c>
      <c r="J39" s="3">
        <v>46021</v>
      </c>
      <c r="K39" t="s">
        <v>140</v>
      </c>
      <c r="L39" t="s">
        <v>65</v>
      </c>
      <c r="M39" s="4">
        <f>[1]!Table5[[#This Row],[Beløb]]/[1]!Table5[[#This Row],[Beløb (RV)]]</f>
        <v>1</v>
      </c>
      <c r="N39" s="7">
        <v>71402</v>
      </c>
      <c r="O39" s="7">
        <v>71402</v>
      </c>
    </row>
    <row r="40" spans="1:15" x14ac:dyDescent="0.25">
      <c r="A40" s="1" t="s">
        <v>18</v>
      </c>
      <c r="B40" s="1" t="s">
        <v>57</v>
      </c>
      <c r="C40" s="1" t="s">
        <v>55</v>
      </c>
      <c r="D40" s="1" t="s">
        <v>59</v>
      </c>
      <c r="E40" s="5" t="s">
        <v>138</v>
      </c>
      <c r="F40" t="s">
        <v>139</v>
      </c>
      <c r="G40" t="s">
        <v>19</v>
      </c>
      <c r="H40">
        <v>2702</v>
      </c>
      <c r="I40" s="3">
        <v>45991</v>
      </c>
      <c r="J40" s="3">
        <v>46021</v>
      </c>
      <c r="K40" t="s">
        <v>141</v>
      </c>
      <c r="L40" t="s">
        <v>65</v>
      </c>
      <c r="M40" s="4">
        <f>[1]!Table5[[#This Row],[Beløb]]/[1]!Table5[[#This Row],[Beløb (RV)]]</f>
        <v>1</v>
      </c>
      <c r="N40" s="7">
        <v>5797</v>
      </c>
      <c r="O40" s="7">
        <v>5797</v>
      </c>
    </row>
    <row r="41" spans="1:15" x14ac:dyDescent="0.25">
      <c r="A41" s="1" t="s">
        <v>18</v>
      </c>
      <c r="B41" s="1" t="s">
        <v>57</v>
      </c>
      <c r="C41" s="1" t="s">
        <v>56</v>
      </c>
      <c r="D41" s="1" t="s">
        <v>59</v>
      </c>
      <c r="E41" s="5" t="s">
        <v>142</v>
      </c>
      <c r="F41" t="s">
        <v>143</v>
      </c>
      <c r="G41" t="s">
        <v>19</v>
      </c>
      <c r="H41">
        <v>2687</v>
      </c>
      <c r="I41" s="3">
        <v>45988</v>
      </c>
      <c r="J41" s="3">
        <v>46048</v>
      </c>
      <c r="K41" t="s">
        <v>144</v>
      </c>
      <c r="L41" t="s">
        <v>65</v>
      </c>
      <c r="M41" s="4">
        <f>[1]!Table5[[#This Row],[Beløb]]/[1]!Table5[[#This Row],[Beløb (RV)]]</f>
        <v>1</v>
      </c>
      <c r="N41" s="6">
        <v>166</v>
      </c>
      <c r="O41" s="6">
        <v>166</v>
      </c>
    </row>
    <row r="42" spans="1:15" x14ac:dyDescent="0.25">
      <c r="A42" s="1" t="s">
        <v>18</v>
      </c>
      <c r="B42" s="1" t="s">
        <v>57</v>
      </c>
      <c r="C42" s="1" t="s">
        <v>145</v>
      </c>
      <c r="D42" s="1" t="s">
        <v>59</v>
      </c>
      <c r="E42" s="2" t="s">
        <v>146</v>
      </c>
      <c r="F42" t="s">
        <v>147</v>
      </c>
      <c r="G42" t="s">
        <v>19</v>
      </c>
      <c r="H42">
        <v>2708</v>
      </c>
      <c r="I42" s="3">
        <v>45992</v>
      </c>
      <c r="J42" s="3">
        <v>46006</v>
      </c>
      <c r="K42" t="s">
        <v>148</v>
      </c>
      <c r="L42" t="s">
        <v>65</v>
      </c>
      <c r="M42" s="4">
        <f>[1]!Table5[[#This Row],[Beløb]]/[1]!Table5[[#This Row],[Beløb (RV)]]</f>
        <v>1</v>
      </c>
      <c r="N42" s="4">
        <v>3630</v>
      </c>
      <c r="O42" s="4">
        <v>3630</v>
      </c>
    </row>
    <row r="43" spans="1:15" x14ac:dyDescent="0.25">
      <c r="A43" s="1" t="s">
        <v>18</v>
      </c>
      <c r="B43" s="1" t="s">
        <v>57</v>
      </c>
      <c r="C43" s="1" t="s">
        <v>149</v>
      </c>
      <c r="D43" s="1" t="s">
        <v>59</v>
      </c>
      <c r="E43" s="2" t="s">
        <v>150</v>
      </c>
      <c r="F43" t="s">
        <v>151</v>
      </c>
      <c r="G43" t="s">
        <v>19</v>
      </c>
      <c r="H43">
        <v>2673</v>
      </c>
      <c r="I43" s="3">
        <v>45982</v>
      </c>
      <c r="J43" s="3">
        <v>46012</v>
      </c>
      <c r="K43" t="s">
        <v>152</v>
      </c>
      <c r="L43" t="s">
        <v>65</v>
      </c>
      <c r="M43" s="4">
        <f>[1]!Table5[[#This Row],[Beløb]]/[1]!Table5[[#This Row],[Beløb (RV)]]</f>
        <v>1</v>
      </c>
      <c r="N43" s="4">
        <v>525</v>
      </c>
      <c r="O43" s="4">
        <v>525</v>
      </c>
    </row>
    <row r="44" spans="1:15" x14ac:dyDescent="0.25">
      <c r="A44" s="1" t="s">
        <v>18</v>
      </c>
      <c r="B44" s="1" t="s">
        <v>57</v>
      </c>
      <c r="C44" s="1" t="s">
        <v>153</v>
      </c>
      <c r="D44" s="1" t="s">
        <v>59</v>
      </c>
      <c r="E44" s="2" t="s">
        <v>150</v>
      </c>
      <c r="F44" t="s">
        <v>151</v>
      </c>
      <c r="G44" t="s">
        <v>19</v>
      </c>
      <c r="H44">
        <v>2715</v>
      </c>
      <c r="I44" s="3">
        <v>45995</v>
      </c>
      <c r="J44" s="3">
        <v>46025</v>
      </c>
      <c r="K44" t="s">
        <v>154</v>
      </c>
      <c r="L44" t="s">
        <v>65</v>
      </c>
      <c r="M44" s="4">
        <f>[1]!Table5[[#This Row],[Beløb]]/[1]!Table5[[#This Row],[Beløb (RV)]]</f>
        <v>1</v>
      </c>
      <c r="N44" s="4">
        <v>875</v>
      </c>
      <c r="O44" s="4">
        <v>875</v>
      </c>
    </row>
    <row r="45" spans="1:15" x14ac:dyDescent="0.25">
      <c r="A45" s="1" t="s">
        <v>18</v>
      </c>
      <c r="B45" s="1" t="s">
        <v>57</v>
      </c>
      <c r="C45" s="1" t="s">
        <v>155</v>
      </c>
      <c r="D45" s="1" t="s">
        <v>59</v>
      </c>
      <c r="E45">
        <v>59856104</v>
      </c>
      <c r="F45" t="s">
        <v>156</v>
      </c>
      <c r="G45" t="s">
        <v>19</v>
      </c>
      <c r="H45">
        <v>2719</v>
      </c>
      <c r="I45" s="3">
        <v>45992</v>
      </c>
      <c r="J45" s="3">
        <v>46022</v>
      </c>
      <c r="K45" t="s">
        <v>157</v>
      </c>
      <c r="L45" t="s">
        <v>65</v>
      </c>
      <c r="M45" s="4">
        <f>[1]!Table5[[#This Row],[Beløb]]/[1]!Table5[[#This Row],[Beløb (RV)]]</f>
        <v>1</v>
      </c>
      <c r="N45" s="4">
        <v>2813</v>
      </c>
      <c r="O45" s="4">
        <v>2813</v>
      </c>
    </row>
    <row r="46" spans="1:15" x14ac:dyDescent="0.25">
      <c r="A46" s="1" t="s">
        <v>18</v>
      </c>
      <c r="B46" s="1" t="s">
        <v>57</v>
      </c>
      <c r="C46" s="1" t="s">
        <v>158</v>
      </c>
      <c r="D46" s="1" t="s">
        <v>59</v>
      </c>
      <c r="E46">
        <v>59861039</v>
      </c>
      <c r="F46" t="s">
        <v>159</v>
      </c>
      <c r="G46" t="s">
        <v>19</v>
      </c>
      <c r="H46">
        <v>2724</v>
      </c>
      <c r="I46" s="3">
        <v>45996</v>
      </c>
      <c r="J46" s="3">
        <v>46026</v>
      </c>
      <c r="K46" t="s">
        <v>160</v>
      </c>
      <c r="L46" t="s">
        <v>65</v>
      </c>
      <c r="M46" s="4">
        <f>[1]!Table5[[#This Row],[Beløb]]/[1]!Table5[[#This Row],[Beløb (RV)]]</f>
        <v>1</v>
      </c>
      <c r="N46" s="4">
        <v>755</v>
      </c>
      <c r="O46" s="4">
        <v>755</v>
      </c>
    </row>
    <row r="47" spans="1:15" x14ac:dyDescent="0.25">
      <c r="A47" s="1" t="s">
        <v>18</v>
      </c>
      <c r="B47" s="1" t="s">
        <v>57</v>
      </c>
      <c r="C47" s="1" t="s">
        <v>161</v>
      </c>
      <c r="D47" s="1" t="s">
        <v>59</v>
      </c>
      <c r="E47">
        <v>59903443</v>
      </c>
      <c r="F47" t="s">
        <v>162</v>
      </c>
      <c r="G47" t="s">
        <v>19</v>
      </c>
      <c r="H47">
        <v>2672</v>
      </c>
      <c r="I47" s="3">
        <v>45981</v>
      </c>
      <c r="J47" s="3">
        <v>46011</v>
      </c>
      <c r="K47" t="s">
        <v>163</v>
      </c>
      <c r="L47" t="s">
        <v>65</v>
      </c>
      <c r="M47" s="4">
        <f>[1]!Table5[[#This Row],[Beløb]]/[1]!Table5[[#This Row],[Beløb (RV)]]</f>
        <v>1</v>
      </c>
      <c r="N47" s="4">
        <v>625</v>
      </c>
      <c r="O47" s="4">
        <v>625</v>
      </c>
    </row>
    <row r="48" spans="1:15" x14ac:dyDescent="0.25">
      <c r="A48" s="1" t="s">
        <v>18</v>
      </c>
      <c r="B48" s="1" t="s">
        <v>57</v>
      </c>
      <c r="C48" s="1" t="s">
        <v>164</v>
      </c>
      <c r="D48" s="1" t="s">
        <v>59</v>
      </c>
      <c r="E48">
        <v>59903443</v>
      </c>
      <c r="F48" t="s">
        <v>162</v>
      </c>
      <c r="G48" t="s">
        <v>19</v>
      </c>
      <c r="H48">
        <v>2726</v>
      </c>
      <c r="I48" s="3">
        <v>45999</v>
      </c>
      <c r="J48" s="3">
        <v>46029</v>
      </c>
      <c r="K48" t="s">
        <v>165</v>
      </c>
      <c r="L48" t="s">
        <v>65</v>
      </c>
      <c r="M48" s="4">
        <f>[1]!Table5[[#This Row],[Beløb]]/[1]!Table5[[#This Row],[Beløb (RV)]]</f>
        <v>1</v>
      </c>
      <c r="N48" s="4">
        <v>625</v>
      </c>
      <c r="O48" s="4">
        <v>625</v>
      </c>
    </row>
    <row r="49" spans="1:15" x14ac:dyDescent="0.25">
      <c r="A49" s="1" t="s">
        <v>18</v>
      </c>
      <c r="B49" s="1" t="s">
        <v>57</v>
      </c>
      <c r="C49" s="1" t="s">
        <v>166</v>
      </c>
      <c r="D49" s="1" t="s">
        <v>59</v>
      </c>
      <c r="E49" s="8">
        <v>1</v>
      </c>
      <c r="F49" t="s">
        <v>60</v>
      </c>
      <c r="G49" t="s">
        <v>19</v>
      </c>
      <c r="H49">
        <v>2707</v>
      </c>
      <c r="I49" s="3">
        <v>45992</v>
      </c>
      <c r="J49" s="3">
        <v>46022</v>
      </c>
      <c r="K49" t="s">
        <v>167</v>
      </c>
      <c r="L49" t="s">
        <v>65</v>
      </c>
      <c r="M49" s="4">
        <f>[1]!Table5[[#This Row],[Beløb]]/[1]!Table5[[#This Row],[Beløb (RV)]]</f>
        <v>1</v>
      </c>
      <c r="N49" s="4">
        <v>57477.7</v>
      </c>
      <c r="O49" s="4">
        <v>57477.7</v>
      </c>
    </row>
    <row r="50" spans="1:15" x14ac:dyDescent="0.25">
      <c r="A50" s="1" t="s">
        <v>18</v>
      </c>
      <c r="B50" s="1" t="s">
        <v>57</v>
      </c>
      <c r="C50" s="1" t="s">
        <v>168</v>
      </c>
      <c r="D50" s="1" t="s">
        <v>59</v>
      </c>
      <c r="E50" s="5" t="s">
        <v>169</v>
      </c>
      <c r="F50" t="s">
        <v>170</v>
      </c>
      <c r="G50" t="s">
        <v>19</v>
      </c>
      <c r="H50">
        <v>2676</v>
      </c>
      <c r="I50" s="3">
        <v>45985</v>
      </c>
      <c r="J50" s="3">
        <v>46015</v>
      </c>
      <c r="K50" t="s">
        <v>171</v>
      </c>
      <c r="L50" t="s">
        <v>65</v>
      </c>
      <c r="M50" s="4">
        <f>[1]!Table5[[#This Row],[Beløb]]/[1]!Table5[[#This Row],[Beløb (RV)]]</f>
        <v>1</v>
      </c>
      <c r="N50" s="4">
        <v>22374</v>
      </c>
      <c r="O50" s="4">
        <v>22374</v>
      </c>
    </row>
    <row r="51" spans="1:15" x14ac:dyDescent="0.25">
      <c r="A51" s="1" t="s">
        <v>18</v>
      </c>
      <c r="B51" s="1" t="s">
        <v>57</v>
      </c>
      <c r="C51" s="1" t="s">
        <v>172</v>
      </c>
      <c r="D51" s="1" t="s">
        <v>59</v>
      </c>
      <c r="E51" s="2" t="s">
        <v>173</v>
      </c>
      <c r="F51" t="s">
        <v>174</v>
      </c>
      <c r="G51" t="s">
        <v>19</v>
      </c>
      <c r="H51">
        <v>2723</v>
      </c>
      <c r="I51" s="3">
        <v>45999</v>
      </c>
      <c r="J51" s="3">
        <v>46029</v>
      </c>
      <c r="K51" t="s">
        <v>175</v>
      </c>
      <c r="L51" t="s">
        <v>65</v>
      </c>
      <c r="M51" s="4">
        <f>[1]!Table5[[#This Row],[Beløb]]/[1]!Table5[[#This Row],[Beløb (RV)]]</f>
        <v>1</v>
      </c>
      <c r="N51" s="4">
        <v>18741</v>
      </c>
      <c r="O51" s="4">
        <v>18741</v>
      </c>
    </row>
    <row r="52" spans="1:15" x14ac:dyDescent="0.25">
      <c r="A52" s="1" t="s">
        <v>18</v>
      </c>
      <c r="B52" s="1" t="s">
        <v>57</v>
      </c>
      <c r="C52" s="1" t="s">
        <v>176</v>
      </c>
      <c r="D52" s="1" t="s">
        <v>59</v>
      </c>
      <c r="E52" s="5" t="s">
        <v>177</v>
      </c>
      <c r="F52" t="s">
        <v>178</v>
      </c>
      <c r="G52" t="s">
        <v>19</v>
      </c>
      <c r="H52">
        <v>2282</v>
      </c>
      <c r="I52" s="3">
        <v>45854</v>
      </c>
      <c r="J52" s="3">
        <v>45854</v>
      </c>
      <c r="K52" t="s">
        <v>179</v>
      </c>
      <c r="L52" t="s">
        <v>180</v>
      </c>
      <c r="M52" s="4">
        <f>[1]!Table5[[#This Row],[Beløb]]/[1]!Table5[[#This Row],[Beløb (RV)]]</f>
        <v>0.65932524952569493</v>
      </c>
      <c r="N52" s="4">
        <v>-399.65</v>
      </c>
      <c r="O52" s="4">
        <v>-606.15</v>
      </c>
    </row>
    <row r="53" spans="1:15" x14ac:dyDescent="0.25">
      <c r="A53" s="1" t="s">
        <v>18</v>
      </c>
      <c r="B53" s="1" t="s">
        <v>57</v>
      </c>
      <c r="C53" s="1" t="s">
        <v>181</v>
      </c>
      <c r="D53" s="1" t="s">
        <v>59</v>
      </c>
      <c r="E53" s="5" t="s">
        <v>177</v>
      </c>
      <c r="F53" t="s">
        <v>178</v>
      </c>
      <c r="G53" t="s">
        <v>19</v>
      </c>
      <c r="H53">
        <v>2474</v>
      </c>
      <c r="I53" s="3">
        <v>45915</v>
      </c>
      <c r="J53" s="3">
        <v>45915</v>
      </c>
      <c r="K53" t="s">
        <v>182</v>
      </c>
      <c r="L53" t="s">
        <v>180</v>
      </c>
      <c r="M53" s="4">
        <f>[1]!Table5[[#This Row],[Beløb]]/[1]!Table5[[#This Row],[Beløb (RV)]]</f>
        <v>0.68409637675876656</v>
      </c>
      <c r="N53" s="4">
        <v>375.35</v>
      </c>
      <c r="O53" s="4">
        <v>548.67999999999995</v>
      </c>
    </row>
    <row r="54" spans="1:15" x14ac:dyDescent="0.25">
      <c r="A54" s="1" t="s">
        <v>18</v>
      </c>
      <c r="B54" s="1" t="s">
        <v>57</v>
      </c>
      <c r="C54" s="1" t="s">
        <v>183</v>
      </c>
      <c r="D54" s="1" t="s">
        <v>59</v>
      </c>
      <c r="E54" s="5" t="s">
        <v>177</v>
      </c>
      <c r="F54" t="s">
        <v>178</v>
      </c>
      <c r="G54" t="s">
        <v>19</v>
      </c>
      <c r="H54">
        <v>2475</v>
      </c>
      <c r="I54" s="3">
        <v>45915</v>
      </c>
      <c r="J54" s="3">
        <v>45915</v>
      </c>
      <c r="K54" t="s">
        <v>184</v>
      </c>
      <c r="L54" t="s">
        <v>180</v>
      </c>
      <c r="M54" s="4">
        <f>[1]!Table5[[#This Row],[Beløb]]/[1]!Table5[[#This Row],[Beløb (RV)]]</f>
        <v>0.68409637675876656</v>
      </c>
      <c r="N54" s="4">
        <v>375.35</v>
      </c>
      <c r="O54" s="4">
        <v>548.67999999999995</v>
      </c>
    </row>
    <row r="55" spans="1:15" x14ac:dyDescent="0.25">
      <c r="A55" s="1" t="s">
        <v>18</v>
      </c>
      <c r="B55" s="1" t="s">
        <v>57</v>
      </c>
      <c r="C55" s="1" t="s">
        <v>185</v>
      </c>
      <c r="D55" s="1" t="s">
        <v>59</v>
      </c>
      <c r="E55" s="5" t="s">
        <v>177</v>
      </c>
      <c r="F55" t="s">
        <v>178</v>
      </c>
      <c r="G55" t="s">
        <v>19</v>
      </c>
      <c r="H55">
        <v>2476</v>
      </c>
      <c r="I55" s="3">
        <v>45915</v>
      </c>
      <c r="J55" s="3">
        <v>45915</v>
      </c>
      <c r="K55" t="s">
        <v>186</v>
      </c>
      <c r="L55" t="s">
        <v>180</v>
      </c>
      <c r="M55" s="4">
        <f>[1]!Table5[[#This Row],[Beløb]]/[1]!Table5[[#This Row],[Beløb (RV)]]</f>
        <v>0.67780208683944809</v>
      </c>
      <c r="N55" s="4">
        <v>241.65</v>
      </c>
      <c r="O55" s="4">
        <v>356.52</v>
      </c>
    </row>
    <row r="56" spans="1:15" x14ac:dyDescent="0.25">
      <c r="A56" s="1" t="s">
        <v>18</v>
      </c>
      <c r="B56" s="1" t="s">
        <v>57</v>
      </c>
      <c r="C56" s="1" t="s">
        <v>187</v>
      </c>
      <c r="D56" s="1" t="s">
        <v>59</v>
      </c>
      <c r="E56" s="5" t="s">
        <v>177</v>
      </c>
      <c r="F56" t="s">
        <v>178</v>
      </c>
      <c r="G56" t="s">
        <v>19</v>
      </c>
      <c r="H56">
        <v>2478</v>
      </c>
      <c r="I56" s="3">
        <v>45915</v>
      </c>
      <c r="J56" s="3">
        <v>45915</v>
      </c>
      <c r="K56" t="s">
        <v>188</v>
      </c>
      <c r="L56" t="s">
        <v>180</v>
      </c>
      <c r="M56" s="4">
        <f>[1]!Table5[[#This Row],[Beløb]]/[1]!Table5[[#This Row],[Beløb (RV)]]</f>
        <v>0.68410149972137646</v>
      </c>
      <c r="N56" s="4">
        <v>1694.15</v>
      </c>
      <c r="O56" s="4">
        <v>2476.46</v>
      </c>
    </row>
    <row r="57" spans="1:15" x14ac:dyDescent="0.25">
      <c r="A57" s="1" t="s">
        <v>18</v>
      </c>
      <c r="B57" s="1" t="s">
        <v>57</v>
      </c>
      <c r="C57" s="1" t="s">
        <v>189</v>
      </c>
      <c r="D57" s="1" t="s">
        <v>59</v>
      </c>
      <c r="E57" s="5" t="s">
        <v>177</v>
      </c>
      <c r="F57" t="s">
        <v>178</v>
      </c>
      <c r="G57" t="s">
        <v>19</v>
      </c>
      <c r="H57">
        <v>2479</v>
      </c>
      <c r="I57" s="3">
        <v>45915</v>
      </c>
      <c r="J57" s="3">
        <v>45915</v>
      </c>
      <c r="K57" t="s">
        <v>190</v>
      </c>
      <c r="L57" t="s">
        <v>180</v>
      </c>
      <c r="M57" s="4">
        <f>[1]!Table5[[#This Row],[Beløb]]/[1]!Table5[[#This Row],[Beløb (RV)]]</f>
        <v>0.68539506902293601</v>
      </c>
      <c r="N57" s="4">
        <v>382.8</v>
      </c>
      <c r="O57" s="4">
        <v>558.51</v>
      </c>
    </row>
    <row r="58" spans="1:15" x14ac:dyDescent="0.25">
      <c r="A58" s="1" t="s">
        <v>18</v>
      </c>
      <c r="B58" s="1" t="s">
        <v>57</v>
      </c>
      <c r="C58" s="1" t="s">
        <v>191</v>
      </c>
      <c r="D58" s="1" t="s">
        <v>59</v>
      </c>
      <c r="E58" s="5" t="s">
        <v>177</v>
      </c>
      <c r="F58" t="s">
        <v>178</v>
      </c>
      <c r="G58" t="s">
        <v>19</v>
      </c>
      <c r="H58">
        <v>2480</v>
      </c>
      <c r="I58" s="3">
        <v>45915</v>
      </c>
      <c r="J58" s="3">
        <v>45915</v>
      </c>
      <c r="K58" t="s">
        <v>192</v>
      </c>
      <c r="L58" t="s">
        <v>180</v>
      </c>
      <c r="M58" s="4">
        <f>[1]!Table5[[#This Row],[Beløb]]/[1]!Table5[[#This Row],[Beløb (RV)]]</f>
        <v>0.68410934372695664</v>
      </c>
      <c r="N58" s="4">
        <v>259.77</v>
      </c>
      <c r="O58" s="4">
        <v>379.72</v>
      </c>
    </row>
    <row r="59" spans="1:15" x14ac:dyDescent="0.25">
      <c r="A59" s="1" t="s">
        <v>18</v>
      </c>
      <c r="B59" s="1" t="s">
        <v>57</v>
      </c>
      <c r="C59" s="1" t="s">
        <v>193</v>
      </c>
      <c r="D59" s="1" t="s">
        <v>59</v>
      </c>
      <c r="E59" s="5" t="s">
        <v>177</v>
      </c>
      <c r="F59" t="s">
        <v>178</v>
      </c>
      <c r="G59" t="s">
        <v>19</v>
      </c>
      <c r="H59">
        <v>2481</v>
      </c>
      <c r="I59" s="3">
        <v>45915</v>
      </c>
      <c r="J59" s="3">
        <v>45915</v>
      </c>
      <c r="K59" t="s">
        <v>194</v>
      </c>
      <c r="L59" t="s">
        <v>180</v>
      </c>
      <c r="M59" s="4">
        <f>[1]!Table5[[#This Row],[Beløb]]/[1]!Table5[[#This Row],[Beløb (RV)]]</f>
        <v>0.68410258129774626</v>
      </c>
      <c r="N59" s="4">
        <v>1224.1400000000001</v>
      </c>
      <c r="O59" s="4">
        <v>1789.41</v>
      </c>
    </row>
    <row r="60" spans="1:15" x14ac:dyDescent="0.25">
      <c r="A60" s="1" t="s">
        <v>18</v>
      </c>
      <c r="B60" s="1" t="s">
        <v>57</v>
      </c>
      <c r="C60" s="1" t="s">
        <v>195</v>
      </c>
      <c r="D60" s="1" t="s">
        <v>59</v>
      </c>
      <c r="E60" s="5" t="s">
        <v>177</v>
      </c>
      <c r="F60" t="s">
        <v>178</v>
      </c>
      <c r="G60" t="s">
        <v>19</v>
      </c>
      <c r="H60">
        <v>2482</v>
      </c>
      <c r="I60" s="3">
        <v>45915</v>
      </c>
      <c r="J60" s="3">
        <v>45915</v>
      </c>
      <c r="K60" t="s">
        <v>196</v>
      </c>
      <c r="L60" t="s">
        <v>180</v>
      </c>
      <c r="M60" s="4">
        <f>[1]!Table5[[#This Row],[Beløb]]/[1]!Table5[[#This Row],[Beløb (RV)]]</f>
        <v>0.68410309083994525</v>
      </c>
      <c r="N60" s="4">
        <v>2104.65</v>
      </c>
      <c r="O60" s="4">
        <v>3076.51</v>
      </c>
    </row>
    <row r="61" spans="1:15" x14ac:dyDescent="0.25">
      <c r="A61" s="1" t="s">
        <v>18</v>
      </c>
      <c r="B61" s="1" t="s">
        <v>57</v>
      </c>
      <c r="C61" s="1" t="s">
        <v>197</v>
      </c>
      <c r="D61" s="1" t="s">
        <v>59</v>
      </c>
      <c r="E61" s="5" t="s">
        <v>177</v>
      </c>
      <c r="F61" t="s">
        <v>178</v>
      </c>
      <c r="G61" t="s">
        <v>19</v>
      </c>
      <c r="H61">
        <v>2568</v>
      </c>
      <c r="I61" s="3">
        <v>45943</v>
      </c>
      <c r="J61" s="3">
        <v>45944</v>
      </c>
      <c r="K61" t="s">
        <v>198</v>
      </c>
      <c r="L61" t="s">
        <v>180</v>
      </c>
      <c r="M61" s="4">
        <f>[1]!Table5[[#This Row],[Beløb]]/[1]!Table5[[#This Row],[Beløb (RV)]]</f>
        <v>0.67811513302513959</v>
      </c>
      <c r="N61" s="4">
        <v>509</v>
      </c>
      <c r="O61" s="4">
        <v>750.61</v>
      </c>
    </row>
    <row r="62" spans="1:15" x14ac:dyDescent="0.25">
      <c r="A62" s="1" t="s">
        <v>18</v>
      </c>
      <c r="B62" s="1" t="s">
        <v>57</v>
      </c>
      <c r="C62" s="1" t="s">
        <v>199</v>
      </c>
      <c r="D62" s="1" t="s">
        <v>59</v>
      </c>
      <c r="E62" s="5" t="s">
        <v>177</v>
      </c>
      <c r="F62" t="s">
        <v>178</v>
      </c>
      <c r="G62" t="s">
        <v>19</v>
      </c>
      <c r="H62">
        <v>2569</v>
      </c>
      <c r="I62" s="3">
        <v>45943</v>
      </c>
      <c r="J62" s="3">
        <v>45943</v>
      </c>
      <c r="K62" t="s">
        <v>200</v>
      </c>
      <c r="L62" t="s">
        <v>180</v>
      </c>
      <c r="M62" s="4">
        <f>[1]!Table5[[#This Row],[Beløb]]/[1]!Table5[[#This Row],[Beløb (RV)]]</f>
        <v>0.67811513302513959</v>
      </c>
      <c r="N62" s="4">
        <v>509</v>
      </c>
      <c r="O62" s="4">
        <v>750.61</v>
      </c>
    </row>
    <row r="63" spans="1:15" x14ac:dyDescent="0.25">
      <c r="A63" s="1" t="s">
        <v>18</v>
      </c>
      <c r="B63" s="1" t="s">
        <v>57</v>
      </c>
      <c r="C63" s="1" t="s">
        <v>201</v>
      </c>
      <c r="D63" s="1" t="s">
        <v>59</v>
      </c>
      <c r="E63" s="9">
        <v>200</v>
      </c>
      <c r="F63" s="9" t="s">
        <v>202</v>
      </c>
      <c r="G63" t="s">
        <v>19</v>
      </c>
      <c r="H63" s="9">
        <v>2721</v>
      </c>
      <c r="I63" s="10">
        <v>45993</v>
      </c>
      <c r="J63" s="10">
        <v>46007</v>
      </c>
      <c r="K63" s="9" t="s">
        <v>203</v>
      </c>
      <c r="L63" s="9" t="s">
        <v>180</v>
      </c>
      <c r="M63" s="4">
        <f>[1]!Table5[[#This Row],[Beløb]]/[1]!Table5[[#This Row],[Beløb (RV)]]</f>
        <v>0.67979561017770129</v>
      </c>
      <c r="N63" s="11">
        <v>2863</v>
      </c>
      <c r="O63" s="11">
        <v>4211.5600000000004</v>
      </c>
    </row>
    <row r="64" spans="1:15" x14ac:dyDescent="0.25">
      <c r="A64" s="1" t="s">
        <v>18</v>
      </c>
      <c r="B64" s="1" t="s">
        <v>57</v>
      </c>
      <c r="C64" s="1" t="s">
        <v>204</v>
      </c>
      <c r="D64" s="1" t="s">
        <v>59</v>
      </c>
      <c r="E64">
        <v>201</v>
      </c>
      <c r="F64" t="s">
        <v>205</v>
      </c>
      <c r="G64" t="s">
        <v>19</v>
      </c>
      <c r="H64">
        <v>2725</v>
      </c>
      <c r="I64" s="3">
        <v>45999</v>
      </c>
      <c r="J64" s="3">
        <v>46029</v>
      </c>
      <c r="K64" t="s">
        <v>206</v>
      </c>
      <c r="L64" t="s">
        <v>61</v>
      </c>
      <c r="M64" s="4">
        <f>[1]!Table5[[#This Row],[Beløb]]/[1]!Table5[[#This Row],[Beløb (RV)]]</f>
        <v>9.1328161843379663E-2</v>
      </c>
      <c r="N64" s="4">
        <v>14408.15</v>
      </c>
      <c r="O64" s="4">
        <v>157762.4</v>
      </c>
    </row>
    <row r="65" spans="1:15" x14ac:dyDescent="0.25">
      <c r="A65" s="1" t="s">
        <v>18</v>
      </c>
      <c r="B65" s="1" t="s">
        <v>57</v>
      </c>
      <c r="C65" s="1" t="s">
        <v>207</v>
      </c>
      <c r="D65" s="1" t="s">
        <v>59</v>
      </c>
      <c r="E65" s="2" t="s">
        <v>208</v>
      </c>
      <c r="F65" t="s">
        <v>209</v>
      </c>
      <c r="G65" t="s">
        <v>19</v>
      </c>
      <c r="H65">
        <v>190</v>
      </c>
      <c r="I65" s="3">
        <v>45231</v>
      </c>
      <c r="J65" s="3">
        <v>45275</v>
      </c>
      <c r="K65" t="s">
        <v>210</v>
      </c>
      <c r="L65" t="s">
        <v>65</v>
      </c>
      <c r="M65" s="4">
        <f>[1]!Table5[[#This Row],[Beløb]]/[1]!Table5[[#This Row],[Beløb (RV)]]</f>
        <v>1</v>
      </c>
      <c r="N65" s="4">
        <v>398233.76</v>
      </c>
      <c r="O65" s="4">
        <v>398233.76</v>
      </c>
    </row>
    <row r="66" spans="1:15" x14ac:dyDescent="0.25">
      <c r="A66" s="1" t="s">
        <v>18</v>
      </c>
      <c r="B66" s="1" t="s">
        <v>57</v>
      </c>
      <c r="C66" s="1" t="s">
        <v>211</v>
      </c>
      <c r="D66" s="1" t="s">
        <v>59</v>
      </c>
      <c r="E66" s="2" t="s">
        <v>208</v>
      </c>
      <c r="F66" t="s">
        <v>209</v>
      </c>
      <c r="G66" t="s">
        <v>19</v>
      </c>
      <c r="H66">
        <v>249</v>
      </c>
      <c r="I66" s="3">
        <v>45261</v>
      </c>
      <c r="J66" s="3">
        <v>45275</v>
      </c>
      <c r="K66" t="s">
        <v>212</v>
      </c>
      <c r="L66" t="s">
        <v>65</v>
      </c>
      <c r="M66" s="4">
        <f>[1]!Table5[[#This Row],[Beløb]]/[1]!Table5[[#This Row],[Beløb (RV)]]</f>
        <v>1</v>
      </c>
      <c r="N66" s="4">
        <v>161532</v>
      </c>
      <c r="O66" s="4">
        <v>161532</v>
      </c>
    </row>
    <row r="67" spans="1:15" x14ac:dyDescent="0.25">
      <c r="A67" s="1" t="s">
        <v>18</v>
      </c>
      <c r="B67" s="1" t="s">
        <v>57</v>
      </c>
      <c r="C67" s="1" t="s">
        <v>213</v>
      </c>
      <c r="D67" s="1" t="s">
        <v>59</v>
      </c>
      <c r="E67" s="2" t="s">
        <v>208</v>
      </c>
      <c r="F67" t="s">
        <v>209</v>
      </c>
      <c r="G67" t="s">
        <v>19</v>
      </c>
      <c r="H67">
        <v>282</v>
      </c>
      <c r="I67" s="3">
        <v>45264</v>
      </c>
      <c r="J67" s="3">
        <v>45306</v>
      </c>
      <c r="K67" t="s">
        <v>214</v>
      </c>
      <c r="L67" t="s">
        <v>65</v>
      </c>
      <c r="M67" s="4">
        <f>[1]!Table5[[#This Row],[Beløb]]/[1]!Table5[[#This Row],[Beløb (RV)]]</f>
        <v>1</v>
      </c>
      <c r="N67" s="4">
        <v>201226.6</v>
      </c>
      <c r="O67" s="4">
        <v>201226.6</v>
      </c>
    </row>
    <row r="68" spans="1:15" x14ac:dyDescent="0.25">
      <c r="A68" s="1" t="s">
        <v>18</v>
      </c>
      <c r="B68" s="1" t="s">
        <v>57</v>
      </c>
      <c r="C68" s="1" t="s">
        <v>215</v>
      </c>
      <c r="D68" s="1" t="s">
        <v>59</v>
      </c>
      <c r="E68" s="2" t="s">
        <v>208</v>
      </c>
      <c r="F68" t="s">
        <v>209</v>
      </c>
      <c r="G68" t="s">
        <v>19</v>
      </c>
      <c r="H68">
        <v>355</v>
      </c>
      <c r="I68" s="3">
        <v>45311</v>
      </c>
      <c r="J68" s="3">
        <v>45337</v>
      </c>
      <c r="K68" t="s">
        <v>216</v>
      </c>
      <c r="L68" t="s">
        <v>65</v>
      </c>
      <c r="M68" s="4">
        <f>[1]!Table5[[#This Row],[Beløb]]/[1]!Table5[[#This Row],[Beløb (RV)]]</f>
        <v>1</v>
      </c>
      <c r="N68" s="4">
        <v>746521.88</v>
      </c>
      <c r="O68" s="4">
        <v>746521.88</v>
      </c>
    </row>
    <row r="69" spans="1:15" x14ac:dyDescent="0.25">
      <c r="A69" s="1" t="s">
        <v>18</v>
      </c>
      <c r="B69" s="1" t="s">
        <v>57</v>
      </c>
      <c r="C69" s="1" t="s">
        <v>217</v>
      </c>
      <c r="D69" s="1" t="s">
        <v>59</v>
      </c>
      <c r="E69" s="2" t="s">
        <v>208</v>
      </c>
      <c r="F69" t="s">
        <v>209</v>
      </c>
      <c r="G69" t="s">
        <v>19</v>
      </c>
      <c r="H69">
        <v>386</v>
      </c>
      <c r="I69" s="3">
        <v>45315</v>
      </c>
      <c r="J69" s="3">
        <v>45337</v>
      </c>
      <c r="K69" t="s">
        <v>218</v>
      </c>
      <c r="L69" t="s">
        <v>65</v>
      </c>
      <c r="M69" s="4">
        <f>[1]!Table5[[#This Row],[Beløb]]/[1]!Table5[[#This Row],[Beløb (RV)]]</f>
        <v>1</v>
      </c>
      <c r="N69" s="4">
        <v>211282.7</v>
      </c>
      <c r="O69" s="4">
        <v>211282.7</v>
      </c>
    </row>
    <row r="70" spans="1:15" x14ac:dyDescent="0.25">
      <c r="A70" s="1" t="s">
        <v>18</v>
      </c>
      <c r="B70" s="1" t="s">
        <v>57</v>
      </c>
      <c r="C70" s="1" t="s">
        <v>219</v>
      </c>
      <c r="D70" s="1" t="s">
        <v>59</v>
      </c>
      <c r="E70" s="2" t="s">
        <v>208</v>
      </c>
      <c r="F70" t="s">
        <v>209</v>
      </c>
      <c r="G70" t="s">
        <v>19</v>
      </c>
      <c r="H70">
        <v>426</v>
      </c>
      <c r="I70" s="3">
        <v>45328</v>
      </c>
      <c r="J70" s="3">
        <v>45358</v>
      </c>
      <c r="K70" t="s">
        <v>220</v>
      </c>
      <c r="L70" t="s">
        <v>65</v>
      </c>
      <c r="M70" s="4">
        <f>[1]!Table5[[#This Row],[Beløb]]/[1]!Table5[[#This Row],[Beløb (RV)]]</f>
        <v>1</v>
      </c>
      <c r="N70" s="4">
        <v>177194.69</v>
      </c>
      <c r="O70" s="4">
        <v>177194.69</v>
      </c>
    </row>
    <row r="71" spans="1:15" x14ac:dyDescent="0.25">
      <c r="A71" s="1" t="s">
        <v>18</v>
      </c>
      <c r="B71" s="1" t="s">
        <v>57</v>
      </c>
      <c r="C71" s="1" t="s">
        <v>221</v>
      </c>
      <c r="D71" s="1" t="s">
        <v>59</v>
      </c>
      <c r="E71" s="2" t="s">
        <v>208</v>
      </c>
      <c r="F71" t="s">
        <v>209</v>
      </c>
      <c r="G71" t="s">
        <v>19</v>
      </c>
      <c r="H71">
        <v>580</v>
      </c>
      <c r="I71" s="3">
        <v>45365</v>
      </c>
      <c r="J71" s="3">
        <v>45397</v>
      </c>
      <c r="K71" t="s">
        <v>222</v>
      </c>
      <c r="L71" t="s">
        <v>65</v>
      </c>
      <c r="M71" s="4">
        <f>[1]!Table5[[#This Row],[Beløb]]/[1]!Table5[[#This Row],[Beløb (RV)]]</f>
        <v>1</v>
      </c>
      <c r="N71" s="4">
        <v>199082.5</v>
      </c>
      <c r="O71" s="4">
        <v>199082.5</v>
      </c>
    </row>
    <row r="72" spans="1:15" x14ac:dyDescent="0.25">
      <c r="A72" s="1" t="s">
        <v>18</v>
      </c>
      <c r="B72" s="1" t="s">
        <v>57</v>
      </c>
      <c r="C72" s="1" t="s">
        <v>223</v>
      </c>
      <c r="D72" s="1" t="s">
        <v>59</v>
      </c>
      <c r="E72" s="2" t="s">
        <v>208</v>
      </c>
      <c r="F72" t="s">
        <v>209</v>
      </c>
      <c r="G72" t="s">
        <v>19</v>
      </c>
      <c r="H72">
        <v>604</v>
      </c>
      <c r="I72" s="3">
        <v>45385</v>
      </c>
      <c r="J72" s="3">
        <v>45427</v>
      </c>
      <c r="K72" t="s">
        <v>224</v>
      </c>
      <c r="L72" t="s">
        <v>65</v>
      </c>
      <c r="M72" s="4">
        <f>[1]!Table5[[#This Row],[Beløb]]/[1]!Table5[[#This Row],[Beløb (RV)]]</f>
        <v>1</v>
      </c>
      <c r="N72" s="4">
        <v>151981.85999999999</v>
      </c>
      <c r="O72" s="4">
        <v>151981.85999999999</v>
      </c>
    </row>
    <row r="73" spans="1:15" x14ac:dyDescent="0.25">
      <c r="A73" s="1" t="s">
        <v>18</v>
      </c>
      <c r="B73" s="1" t="s">
        <v>57</v>
      </c>
      <c r="C73" s="1" t="s">
        <v>225</v>
      </c>
      <c r="D73" s="1" t="s">
        <v>59</v>
      </c>
      <c r="E73" s="2" t="s">
        <v>208</v>
      </c>
      <c r="F73" t="s">
        <v>209</v>
      </c>
      <c r="G73" t="s">
        <v>19</v>
      </c>
      <c r="H73">
        <v>716</v>
      </c>
      <c r="I73" s="3">
        <v>45405</v>
      </c>
      <c r="J73" s="3">
        <v>45427</v>
      </c>
      <c r="K73" t="s">
        <v>226</v>
      </c>
      <c r="L73" t="s">
        <v>65</v>
      </c>
      <c r="M73" s="4">
        <f>[1]!Table5[[#This Row],[Beløb]]/[1]!Table5[[#This Row],[Beløb (RV)]]</f>
        <v>1</v>
      </c>
      <c r="N73" s="4">
        <v>183473.71</v>
      </c>
      <c r="O73" s="4">
        <v>183473.71</v>
      </c>
    </row>
    <row r="74" spans="1:15" x14ac:dyDescent="0.25">
      <c r="A74" s="1" t="s">
        <v>18</v>
      </c>
      <c r="B74" s="1" t="s">
        <v>57</v>
      </c>
      <c r="C74" s="1" t="s">
        <v>227</v>
      </c>
      <c r="D74" s="1" t="s">
        <v>59</v>
      </c>
      <c r="E74" s="2" t="s">
        <v>208</v>
      </c>
      <c r="F74" t="s">
        <v>209</v>
      </c>
      <c r="G74" t="s">
        <v>19</v>
      </c>
      <c r="H74">
        <v>889</v>
      </c>
      <c r="I74" s="3">
        <v>45457</v>
      </c>
      <c r="J74" s="3">
        <v>45457</v>
      </c>
      <c r="K74" t="s">
        <v>228</v>
      </c>
      <c r="L74" t="s">
        <v>65</v>
      </c>
      <c r="M74" s="4">
        <f>[1]!Table5[[#This Row],[Beløb]]/[1]!Table5[[#This Row],[Beløb (RV)]]</f>
        <v>1</v>
      </c>
      <c r="N74" s="4">
        <v>1000000</v>
      </c>
      <c r="O74" s="4">
        <v>1000000</v>
      </c>
    </row>
    <row r="75" spans="1:15" x14ac:dyDescent="0.25">
      <c r="A75" s="1" t="s">
        <v>18</v>
      </c>
      <c r="B75" s="1" t="s">
        <v>57</v>
      </c>
      <c r="C75" s="1" t="s">
        <v>229</v>
      </c>
      <c r="D75" s="1" t="s">
        <v>59</v>
      </c>
      <c r="E75" s="2" t="s">
        <v>208</v>
      </c>
      <c r="F75" t="s">
        <v>209</v>
      </c>
      <c r="G75" t="s">
        <v>19</v>
      </c>
      <c r="H75">
        <v>890</v>
      </c>
      <c r="I75" s="3">
        <v>45455</v>
      </c>
      <c r="J75" s="3">
        <v>45488</v>
      </c>
      <c r="K75" t="s">
        <v>230</v>
      </c>
      <c r="L75" t="s">
        <v>65</v>
      </c>
      <c r="M75" s="4">
        <f>[1]!Table5[[#This Row],[Beløb]]/[1]!Table5[[#This Row],[Beløb (RV)]]</f>
        <v>1</v>
      </c>
      <c r="N75" s="4">
        <v>204914.8</v>
      </c>
      <c r="O75" s="4">
        <v>204914.8</v>
      </c>
    </row>
    <row r="76" spans="1:15" x14ac:dyDescent="0.25">
      <c r="A76" s="1" t="s">
        <v>18</v>
      </c>
      <c r="B76" s="1" t="s">
        <v>57</v>
      </c>
      <c r="C76" s="1" t="s">
        <v>231</v>
      </c>
      <c r="D76" s="1" t="s">
        <v>59</v>
      </c>
      <c r="E76" s="2" t="s">
        <v>208</v>
      </c>
      <c r="F76" t="s">
        <v>209</v>
      </c>
      <c r="G76" t="s">
        <v>19</v>
      </c>
      <c r="H76">
        <v>891</v>
      </c>
      <c r="I76" s="3">
        <v>45455</v>
      </c>
      <c r="J76" s="3">
        <v>45488</v>
      </c>
      <c r="K76" t="s">
        <v>232</v>
      </c>
      <c r="L76" t="s">
        <v>65</v>
      </c>
      <c r="M76" s="4">
        <f>[1]!Table5[[#This Row],[Beløb]]/[1]!Table5[[#This Row],[Beløb (RV)]]</f>
        <v>1</v>
      </c>
      <c r="N76" s="4">
        <v>233189.22</v>
      </c>
      <c r="O76" s="4">
        <v>233189.22</v>
      </c>
    </row>
    <row r="77" spans="1:15" x14ac:dyDescent="0.25">
      <c r="A77" s="1" t="s">
        <v>18</v>
      </c>
      <c r="B77" s="1" t="s">
        <v>57</v>
      </c>
      <c r="C77" s="1" t="s">
        <v>233</v>
      </c>
      <c r="D77" s="1" t="s">
        <v>59</v>
      </c>
      <c r="E77" s="2" t="s">
        <v>208</v>
      </c>
      <c r="F77" t="s">
        <v>209</v>
      </c>
      <c r="G77" t="s">
        <v>19</v>
      </c>
      <c r="H77">
        <v>893</v>
      </c>
      <c r="I77" s="3">
        <v>45444</v>
      </c>
      <c r="J77" s="3">
        <v>45458</v>
      </c>
      <c r="K77" t="s">
        <v>234</v>
      </c>
      <c r="L77" t="s">
        <v>65</v>
      </c>
      <c r="M77" s="4">
        <f>[1]!Table5[[#This Row],[Beløb]]/[1]!Table5[[#This Row],[Beløb (RV)]]</f>
        <v>1</v>
      </c>
      <c r="N77" s="4">
        <v>155061.75</v>
      </c>
      <c r="O77" s="4">
        <v>155061.75</v>
      </c>
    </row>
    <row r="78" spans="1:15" x14ac:dyDescent="0.25">
      <c r="A78" s="1" t="s">
        <v>18</v>
      </c>
      <c r="B78" s="1" t="s">
        <v>57</v>
      </c>
      <c r="C78" s="1" t="s">
        <v>235</v>
      </c>
      <c r="D78" s="1" t="s">
        <v>59</v>
      </c>
      <c r="E78" s="2" t="s">
        <v>208</v>
      </c>
      <c r="F78" t="s">
        <v>209</v>
      </c>
      <c r="G78" t="s">
        <v>19</v>
      </c>
      <c r="H78">
        <v>1146</v>
      </c>
      <c r="I78" s="3">
        <v>45540</v>
      </c>
      <c r="J78" s="3">
        <v>45580</v>
      </c>
      <c r="K78" t="s">
        <v>236</v>
      </c>
      <c r="L78" t="s">
        <v>65</v>
      </c>
      <c r="M78" s="4">
        <f>[1]!Table5[[#This Row],[Beløb]]/[1]!Table5[[#This Row],[Beløb (RV)]]</f>
        <v>1</v>
      </c>
      <c r="N78" s="4">
        <v>251078</v>
      </c>
      <c r="O78" s="4">
        <v>251078</v>
      </c>
    </row>
    <row r="79" spans="1:15" x14ac:dyDescent="0.25">
      <c r="A79" s="1" t="s">
        <v>18</v>
      </c>
      <c r="B79" s="1" t="s">
        <v>57</v>
      </c>
      <c r="C79" s="1" t="s">
        <v>237</v>
      </c>
      <c r="D79" s="1" t="s">
        <v>59</v>
      </c>
      <c r="E79" s="2" t="s">
        <v>208</v>
      </c>
      <c r="F79" t="s">
        <v>209</v>
      </c>
      <c r="G79" t="s">
        <v>19</v>
      </c>
      <c r="H79">
        <v>1169</v>
      </c>
      <c r="I79" s="3">
        <v>45554</v>
      </c>
      <c r="J79" s="3">
        <v>45580</v>
      </c>
      <c r="K79" t="s">
        <v>238</v>
      </c>
      <c r="L79" t="s">
        <v>65</v>
      </c>
      <c r="M79" s="4">
        <f>[1]!Table5[[#This Row],[Beløb]]/[1]!Table5[[#This Row],[Beløb (RV)]]</f>
        <v>1</v>
      </c>
      <c r="N79" s="4">
        <v>298214.40000000002</v>
      </c>
      <c r="O79" s="4">
        <v>298214.40000000002</v>
      </c>
    </row>
    <row r="80" spans="1:15" x14ac:dyDescent="0.25">
      <c r="A80" s="1" t="s">
        <v>18</v>
      </c>
      <c r="B80" s="1" t="s">
        <v>57</v>
      </c>
      <c r="C80" s="1" t="s">
        <v>239</v>
      </c>
      <c r="D80" s="1" t="s">
        <v>59</v>
      </c>
      <c r="E80" s="2" t="s">
        <v>208</v>
      </c>
      <c r="F80" t="s">
        <v>209</v>
      </c>
      <c r="G80" t="s">
        <v>19</v>
      </c>
      <c r="H80">
        <v>1370</v>
      </c>
      <c r="I80" s="3">
        <v>45616</v>
      </c>
      <c r="J80" s="3">
        <v>45641</v>
      </c>
      <c r="K80" t="s">
        <v>240</v>
      </c>
      <c r="L80" t="s">
        <v>65</v>
      </c>
      <c r="M80" s="4">
        <f>[1]!Table5[[#This Row],[Beløb]]/[1]!Table5[[#This Row],[Beløb (RV)]]</f>
        <v>1</v>
      </c>
      <c r="N80" s="4">
        <v>335916.79999999999</v>
      </c>
      <c r="O80" s="4">
        <v>335916.79999999999</v>
      </c>
    </row>
    <row r="81" spans="1:15" x14ac:dyDescent="0.25">
      <c r="A81" s="1" t="s">
        <v>18</v>
      </c>
      <c r="B81" s="1" t="s">
        <v>57</v>
      </c>
      <c r="C81" s="1" t="s">
        <v>241</v>
      </c>
      <c r="D81" s="1" t="s">
        <v>59</v>
      </c>
      <c r="E81" s="2" t="s">
        <v>208</v>
      </c>
      <c r="F81" t="s">
        <v>209</v>
      </c>
      <c r="G81" t="s">
        <v>19</v>
      </c>
      <c r="H81">
        <v>1373</v>
      </c>
      <c r="I81" s="3">
        <v>45622</v>
      </c>
      <c r="J81" s="3">
        <v>45641</v>
      </c>
      <c r="K81" t="s">
        <v>69</v>
      </c>
      <c r="L81" t="s">
        <v>65</v>
      </c>
      <c r="M81" s="4">
        <f>[1]!Table5[[#This Row],[Beløb]]/[1]!Table5[[#This Row],[Beløb (RV)]]</f>
        <v>1</v>
      </c>
      <c r="N81" s="4">
        <v>161571.26</v>
      </c>
      <c r="O81" s="4">
        <v>161571.26</v>
      </c>
    </row>
    <row r="82" spans="1:15" x14ac:dyDescent="0.25">
      <c r="A82" s="1" t="s">
        <v>18</v>
      </c>
      <c r="B82" s="1" t="s">
        <v>57</v>
      </c>
      <c r="C82" s="1" t="s">
        <v>242</v>
      </c>
      <c r="D82" s="1" t="s">
        <v>59</v>
      </c>
      <c r="E82" s="2" t="s">
        <v>208</v>
      </c>
      <c r="F82" t="s">
        <v>209</v>
      </c>
      <c r="G82" t="s">
        <v>19</v>
      </c>
      <c r="H82">
        <v>1502</v>
      </c>
      <c r="I82" s="3">
        <v>45672</v>
      </c>
      <c r="J82" s="3">
        <v>45703</v>
      </c>
      <c r="K82" t="s">
        <v>243</v>
      </c>
      <c r="L82" t="s">
        <v>65</v>
      </c>
      <c r="M82" s="4">
        <f>[1]!Table5[[#This Row],[Beløb]]/[1]!Table5[[#This Row],[Beløb (RV)]]</f>
        <v>1</v>
      </c>
      <c r="N82" s="4">
        <v>401059.3</v>
      </c>
      <c r="O82" s="4">
        <v>401059.3</v>
      </c>
    </row>
    <row r="83" spans="1:15" x14ac:dyDescent="0.25">
      <c r="A83" s="1" t="s">
        <v>18</v>
      </c>
      <c r="B83" s="1" t="s">
        <v>57</v>
      </c>
      <c r="C83" s="1" t="s">
        <v>244</v>
      </c>
      <c r="D83" s="1" t="s">
        <v>59</v>
      </c>
      <c r="E83" s="2" t="s">
        <v>208</v>
      </c>
      <c r="F83" t="s">
        <v>209</v>
      </c>
      <c r="G83" t="s">
        <v>19</v>
      </c>
      <c r="H83">
        <v>1644</v>
      </c>
      <c r="I83" s="3">
        <v>45720</v>
      </c>
      <c r="J83" s="3">
        <v>45750</v>
      </c>
      <c r="K83" t="s">
        <v>245</v>
      </c>
      <c r="L83" t="s">
        <v>65</v>
      </c>
      <c r="M83" s="4">
        <f>[1]!Table5[[#This Row],[Beløb]]/[1]!Table5[[#This Row],[Beløb (RV)]]</f>
        <v>1</v>
      </c>
      <c r="N83" s="4">
        <v>139292.44</v>
      </c>
      <c r="O83" s="4">
        <v>139292.44</v>
      </c>
    </row>
    <row r="84" spans="1:15" x14ac:dyDescent="0.25">
      <c r="A84" s="1" t="s">
        <v>18</v>
      </c>
      <c r="B84" s="1" t="s">
        <v>57</v>
      </c>
      <c r="C84" s="1" t="s">
        <v>246</v>
      </c>
      <c r="D84" s="1" t="s">
        <v>59</v>
      </c>
      <c r="E84" s="2" t="s">
        <v>208</v>
      </c>
      <c r="F84" t="s">
        <v>209</v>
      </c>
      <c r="G84" t="s">
        <v>19</v>
      </c>
      <c r="H84">
        <v>1805</v>
      </c>
      <c r="I84" s="3">
        <v>45747</v>
      </c>
      <c r="J84" s="3">
        <v>45762</v>
      </c>
      <c r="K84" t="s">
        <v>247</v>
      </c>
      <c r="L84" t="s">
        <v>65</v>
      </c>
      <c r="M84" s="4">
        <f>[1]!Table5[[#This Row],[Beløb]]/[1]!Table5[[#This Row],[Beløb (RV)]]</f>
        <v>1</v>
      </c>
      <c r="N84" s="4">
        <v>328534.09999999998</v>
      </c>
      <c r="O84" s="4">
        <v>328534.09999999998</v>
      </c>
    </row>
    <row r="85" spans="1:15" x14ac:dyDescent="0.25">
      <c r="A85" s="1" t="s">
        <v>18</v>
      </c>
      <c r="B85" s="1" t="s">
        <v>57</v>
      </c>
      <c r="C85" s="1" t="s">
        <v>248</v>
      </c>
      <c r="D85" s="1" t="s">
        <v>59</v>
      </c>
      <c r="E85" s="2" t="s">
        <v>208</v>
      </c>
      <c r="F85" t="s">
        <v>209</v>
      </c>
      <c r="G85" t="s">
        <v>19</v>
      </c>
      <c r="H85">
        <v>1925</v>
      </c>
      <c r="I85" s="3">
        <v>45762</v>
      </c>
      <c r="J85" s="3">
        <v>45792</v>
      </c>
      <c r="K85" t="s">
        <v>249</v>
      </c>
      <c r="L85" t="s">
        <v>65</v>
      </c>
      <c r="M85" s="4">
        <f>[1]!Table5[[#This Row],[Beløb]]/[1]!Table5[[#This Row],[Beløb (RV)]]</f>
        <v>1</v>
      </c>
      <c r="N85" s="4">
        <v>227518.5</v>
      </c>
      <c r="O85" s="4">
        <v>227518.5</v>
      </c>
    </row>
    <row r="86" spans="1:15" x14ac:dyDescent="0.25">
      <c r="A86" s="1" t="s">
        <v>18</v>
      </c>
      <c r="B86" s="1" t="s">
        <v>57</v>
      </c>
      <c r="C86" s="1" t="s">
        <v>250</v>
      </c>
      <c r="D86" s="1" t="s">
        <v>59</v>
      </c>
      <c r="E86" s="2" t="s">
        <v>208</v>
      </c>
      <c r="F86" t="s">
        <v>209</v>
      </c>
      <c r="G86" t="s">
        <v>19</v>
      </c>
      <c r="H86">
        <v>1981</v>
      </c>
      <c r="I86" s="3">
        <v>45777</v>
      </c>
      <c r="J86" s="3">
        <v>45807</v>
      </c>
      <c r="K86" t="s">
        <v>251</v>
      </c>
      <c r="L86" t="s">
        <v>65</v>
      </c>
      <c r="M86" s="4">
        <f>[1]!Table5[[#This Row],[Beløb]]/[1]!Table5[[#This Row],[Beløb (RV)]]</f>
        <v>1</v>
      </c>
      <c r="N86" s="4">
        <v>137807.51</v>
      </c>
      <c r="O86" s="4">
        <v>137807.51</v>
      </c>
    </row>
    <row r="87" spans="1:15" x14ac:dyDescent="0.25">
      <c r="A87" s="1" t="s">
        <v>18</v>
      </c>
      <c r="B87" s="1" t="s">
        <v>57</v>
      </c>
      <c r="C87" s="1" t="s">
        <v>252</v>
      </c>
      <c r="D87" s="1" t="s">
        <v>59</v>
      </c>
      <c r="E87" s="2" t="s">
        <v>208</v>
      </c>
      <c r="F87" t="s">
        <v>209</v>
      </c>
      <c r="G87" t="s">
        <v>19</v>
      </c>
      <c r="H87">
        <v>2115</v>
      </c>
      <c r="I87" s="3">
        <v>45805</v>
      </c>
      <c r="J87" s="3">
        <v>45823</v>
      </c>
      <c r="K87" t="s">
        <v>253</v>
      </c>
      <c r="L87" t="s">
        <v>65</v>
      </c>
      <c r="M87" s="4">
        <f>[1]!Table5[[#This Row],[Beløb]]/[1]!Table5[[#This Row],[Beløb (RV)]]</f>
        <v>1</v>
      </c>
      <c r="N87" s="4">
        <v>301003.94</v>
      </c>
      <c r="O87" s="4">
        <v>301003.94</v>
      </c>
    </row>
    <row r="88" spans="1:15" x14ac:dyDescent="0.25">
      <c r="A88" s="1" t="s">
        <v>18</v>
      </c>
      <c r="B88" s="1" t="s">
        <v>57</v>
      </c>
      <c r="C88" s="1" t="s">
        <v>254</v>
      </c>
      <c r="D88" s="1" t="s">
        <v>59</v>
      </c>
      <c r="E88" s="2" t="s">
        <v>208</v>
      </c>
      <c r="F88" t="s">
        <v>209</v>
      </c>
      <c r="G88" t="s">
        <v>19</v>
      </c>
      <c r="H88">
        <v>2241</v>
      </c>
      <c r="I88" s="3">
        <v>45833</v>
      </c>
      <c r="J88" s="3">
        <v>45863</v>
      </c>
      <c r="K88" t="s">
        <v>255</v>
      </c>
      <c r="L88" t="s">
        <v>65</v>
      </c>
      <c r="M88" s="4">
        <f>[1]!Table5[[#This Row],[Beløb]]/[1]!Table5[[#This Row],[Beløb (RV)]]</f>
        <v>1</v>
      </c>
      <c r="N88" s="4">
        <v>239.6</v>
      </c>
      <c r="O88" s="4">
        <v>239.6</v>
      </c>
    </row>
    <row r="89" spans="1:15" x14ac:dyDescent="0.25">
      <c r="A89" s="1" t="s">
        <v>18</v>
      </c>
      <c r="B89" s="1" t="s">
        <v>57</v>
      </c>
      <c r="C89" s="1" t="s">
        <v>256</v>
      </c>
      <c r="D89" s="1" t="s">
        <v>59</v>
      </c>
      <c r="E89" s="2" t="s">
        <v>208</v>
      </c>
      <c r="F89" t="s">
        <v>209</v>
      </c>
      <c r="G89" t="s">
        <v>19</v>
      </c>
      <c r="H89">
        <v>2408</v>
      </c>
      <c r="I89" s="3">
        <v>45891</v>
      </c>
      <c r="J89" s="3">
        <v>45921</v>
      </c>
      <c r="K89" t="s">
        <v>257</v>
      </c>
      <c r="L89" t="s">
        <v>65</v>
      </c>
      <c r="M89" s="4">
        <f>[1]!Table5[[#This Row],[Beløb]]/[1]!Table5[[#This Row],[Beløb (RV)]]</f>
        <v>1</v>
      </c>
      <c r="N89" s="4">
        <v>10886.5</v>
      </c>
      <c r="O89" s="4">
        <v>10886.5</v>
      </c>
    </row>
    <row r="90" spans="1:15" x14ac:dyDescent="0.25">
      <c r="A90" s="1" t="s">
        <v>18</v>
      </c>
      <c r="B90" s="1" t="s">
        <v>57</v>
      </c>
      <c r="C90" s="1" t="s">
        <v>258</v>
      </c>
      <c r="D90" s="1" t="s">
        <v>59</v>
      </c>
      <c r="E90" s="2" t="s">
        <v>208</v>
      </c>
      <c r="F90" t="s">
        <v>209</v>
      </c>
      <c r="G90" t="s">
        <v>19</v>
      </c>
      <c r="H90">
        <v>2409</v>
      </c>
      <c r="I90" s="3">
        <v>45876</v>
      </c>
      <c r="J90" s="3">
        <v>45906</v>
      </c>
      <c r="K90" t="s">
        <v>259</v>
      </c>
      <c r="L90" t="s">
        <v>65</v>
      </c>
      <c r="M90" s="4">
        <f>[1]!Table5[[#This Row],[Beløb]]/[1]!Table5[[#This Row],[Beløb (RV)]]</f>
        <v>1</v>
      </c>
      <c r="N90" s="4">
        <v>993.94</v>
      </c>
      <c r="O90" s="4">
        <v>993.94</v>
      </c>
    </row>
    <row r="91" spans="1:15" x14ac:dyDescent="0.25">
      <c r="A91" s="1" t="s">
        <v>18</v>
      </c>
      <c r="B91" s="1" t="s">
        <v>57</v>
      </c>
      <c r="C91" s="1" t="s">
        <v>260</v>
      </c>
      <c r="D91" s="1" t="s">
        <v>59</v>
      </c>
      <c r="E91" s="2" t="s">
        <v>208</v>
      </c>
      <c r="F91" t="s">
        <v>209</v>
      </c>
      <c r="G91" t="s">
        <v>19</v>
      </c>
      <c r="H91">
        <v>2444</v>
      </c>
      <c r="I91" s="3">
        <v>45908</v>
      </c>
      <c r="J91" s="3">
        <v>45938</v>
      </c>
      <c r="K91" t="s">
        <v>261</v>
      </c>
      <c r="L91" t="s">
        <v>65</v>
      </c>
      <c r="M91" s="4">
        <f>[1]!Table5[[#This Row],[Beløb]]/[1]!Table5[[#This Row],[Beløb (RV)]]</f>
        <v>1</v>
      </c>
      <c r="N91" s="4">
        <v>14084.67</v>
      </c>
      <c r="O91" s="4">
        <v>14084.67</v>
      </c>
    </row>
    <row r="92" spans="1:15" x14ac:dyDescent="0.25">
      <c r="A92" s="1" t="s">
        <v>18</v>
      </c>
      <c r="B92" s="1" t="s">
        <v>57</v>
      </c>
      <c r="C92" s="1" t="s">
        <v>262</v>
      </c>
      <c r="D92" s="1" t="s">
        <v>59</v>
      </c>
      <c r="E92" s="2" t="s">
        <v>208</v>
      </c>
      <c r="F92" t="s">
        <v>209</v>
      </c>
      <c r="G92" t="s">
        <v>19</v>
      </c>
      <c r="H92">
        <v>2445</v>
      </c>
      <c r="I92" s="3">
        <v>45908</v>
      </c>
      <c r="J92" s="3">
        <v>45938</v>
      </c>
      <c r="K92" t="s">
        <v>263</v>
      </c>
      <c r="L92" t="s">
        <v>65</v>
      </c>
      <c r="M92" s="4">
        <f>[1]!Table5[[#This Row],[Beløb]]/[1]!Table5[[#This Row],[Beløb (RV)]]</f>
        <v>1</v>
      </c>
      <c r="N92" s="4">
        <v>15943.27</v>
      </c>
      <c r="O92" s="4">
        <v>15943.27</v>
      </c>
    </row>
    <row r="93" spans="1:15" x14ac:dyDescent="0.25">
      <c r="A93" s="1" t="s">
        <v>18</v>
      </c>
      <c r="B93" s="1" t="s">
        <v>57</v>
      </c>
      <c r="C93" s="1" t="s">
        <v>264</v>
      </c>
      <c r="D93" s="1" t="s">
        <v>59</v>
      </c>
      <c r="E93" s="2" t="s">
        <v>208</v>
      </c>
      <c r="F93" t="s">
        <v>209</v>
      </c>
      <c r="G93" t="s">
        <v>19</v>
      </c>
      <c r="H93">
        <v>2446</v>
      </c>
      <c r="I93" s="3">
        <v>45908</v>
      </c>
      <c r="J93" s="3">
        <v>45938</v>
      </c>
      <c r="K93" t="s">
        <v>265</v>
      </c>
      <c r="L93" t="s">
        <v>65</v>
      </c>
      <c r="M93" s="4">
        <f>[1]!Table5[[#This Row],[Beløb]]/[1]!Table5[[#This Row],[Beløb (RV)]]</f>
        <v>1</v>
      </c>
      <c r="N93" s="4">
        <v>-60904.959999999999</v>
      </c>
      <c r="O93" s="4">
        <v>-60904.959999999999</v>
      </c>
    </row>
    <row r="94" spans="1:15" x14ac:dyDescent="0.25">
      <c r="A94" s="1" t="s">
        <v>18</v>
      </c>
      <c r="B94" s="1" t="s">
        <v>57</v>
      </c>
      <c r="C94" s="1" t="s">
        <v>266</v>
      </c>
      <c r="D94" s="1" t="s">
        <v>59</v>
      </c>
      <c r="E94" s="2" t="s">
        <v>208</v>
      </c>
      <c r="F94" t="s">
        <v>209</v>
      </c>
      <c r="G94" t="s">
        <v>19</v>
      </c>
      <c r="H94">
        <v>2447</v>
      </c>
      <c r="I94" s="3">
        <v>45908</v>
      </c>
      <c r="J94" s="3">
        <v>45938</v>
      </c>
      <c r="K94" t="s">
        <v>267</v>
      </c>
      <c r="L94" t="s">
        <v>65</v>
      </c>
      <c r="M94" s="4">
        <f>[1]!Table5[[#This Row],[Beløb]]/[1]!Table5[[#This Row],[Beløb (RV)]]</f>
        <v>1</v>
      </c>
      <c r="N94" s="4">
        <v>-24651</v>
      </c>
      <c r="O94" s="4">
        <v>-24651</v>
      </c>
    </row>
    <row r="95" spans="1:15" x14ac:dyDescent="0.25">
      <c r="A95" s="1" t="s">
        <v>18</v>
      </c>
      <c r="B95" s="1" t="s">
        <v>57</v>
      </c>
      <c r="C95" s="1" t="s">
        <v>268</v>
      </c>
      <c r="D95" s="1" t="s">
        <v>59</v>
      </c>
      <c r="E95" s="2" t="s">
        <v>208</v>
      </c>
      <c r="F95" t="s">
        <v>209</v>
      </c>
      <c r="G95" t="s">
        <v>19</v>
      </c>
      <c r="H95">
        <v>2448</v>
      </c>
      <c r="I95" s="3">
        <v>45908</v>
      </c>
      <c r="J95" s="3">
        <v>45938</v>
      </c>
      <c r="K95" t="s">
        <v>269</v>
      </c>
      <c r="L95" t="s">
        <v>65</v>
      </c>
      <c r="M95" s="4">
        <f>[1]!Table5[[#This Row],[Beløb]]/[1]!Table5[[#This Row],[Beløb (RV)]]</f>
        <v>1</v>
      </c>
      <c r="N95" s="4">
        <v>-5932.74</v>
      </c>
      <c r="O95" s="4">
        <v>-5932.74</v>
      </c>
    </row>
    <row r="96" spans="1:15" x14ac:dyDescent="0.25">
      <c r="A96" s="1" t="s">
        <v>18</v>
      </c>
      <c r="B96" s="1" t="s">
        <v>57</v>
      </c>
      <c r="C96" s="1" t="s">
        <v>270</v>
      </c>
      <c r="D96" s="1" t="s">
        <v>59</v>
      </c>
      <c r="E96" s="2" t="s">
        <v>208</v>
      </c>
      <c r="F96" t="s">
        <v>209</v>
      </c>
      <c r="G96" t="s">
        <v>19</v>
      </c>
      <c r="H96">
        <v>2449</v>
      </c>
      <c r="I96" s="3">
        <v>45908</v>
      </c>
      <c r="J96" s="3">
        <v>45938</v>
      </c>
      <c r="K96" t="s">
        <v>271</v>
      </c>
      <c r="L96" t="s">
        <v>65</v>
      </c>
      <c r="M96" s="4">
        <f>[1]!Table5[[#This Row],[Beløb]]/[1]!Table5[[#This Row],[Beløb (RV)]]</f>
        <v>1</v>
      </c>
      <c r="N96" s="4">
        <v>-54292.88</v>
      </c>
      <c r="O96" s="4">
        <v>-54292.88</v>
      </c>
    </row>
    <row r="97" spans="1:15" x14ac:dyDescent="0.25">
      <c r="A97" s="1" t="s">
        <v>18</v>
      </c>
      <c r="B97" s="1" t="s">
        <v>57</v>
      </c>
      <c r="C97" s="1" t="s">
        <v>272</v>
      </c>
      <c r="D97" s="1" t="s">
        <v>59</v>
      </c>
      <c r="E97" s="2" t="s">
        <v>208</v>
      </c>
      <c r="F97" t="s">
        <v>209</v>
      </c>
      <c r="G97" t="s">
        <v>19</v>
      </c>
      <c r="H97">
        <v>2456</v>
      </c>
      <c r="I97" s="3">
        <v>45903</v>
      </c>
      <c r="J97" s="3">
        <v>45933</v>
      </c>
      <c r="K97" t="s">
        <v>273</v>
      </c>
      <c r="L97" t="s">
        <v>65</v>
      </c>
      <c r="M97" s="4">
        <f>[1]!Table5[[#This Row],[Beløb]]/[1]!Table5[[#This Row],[Beløb (RV)]]</f>
        <v>1</v>
      </c>
      <c r="N97" s="4">
        <v>30000.95</v>
      </c>
      <c r="O97" s="4">
        <v>30000.95</v>
      </c>
    </row>
    <row r="98" spans="1:15" x14ac:dyDescent="0.25">
      <c r="A98" s="1" t="s">
        <v>18</v>
      </c>
      <c r="B98" s="1" t="s">
        <v>57</v>
      </c>
      <c r="C98" s="1" t="s">
        <v>274</v>
      </c>
      <c r="D98" s="1" t="s">
        <v>59</v>
      </c>
      <c r="E98" s="2" t="s">
        <v>208</v>
      </c>
      <c r="F98" t="s">
        <v>209</v>
      </c>
      <c r="G98" t="s">
        <v>19</v>
      </c>
      <c r="H98">
        <v>2457</v>
      </c>
      <c r="I98" s="3">
        <v>45905</v>
      </c>
      <c r="J98" s="3">
        <v>45935</v>
      </c>
      <c r="K98" t="s">
        <v>275</v>
      </c>
      <c r="L98" t="s">
        <v>65</v>
      </c>
      <c r="M98" s="4">
        <f>[1]!Table5[[#This Row],[Beløb]]/[1]!Table5[[#This Row],[Beløb (RV)]]</f>
        <v>1</v>
      </c>
      <c r="N98" s="4">
        <v>19099.759999999998</v>
      </c>
      <c r="O98" s="4">
        <v>19099.759999999998</v>
      </c>
    </row>
    <row r="99" spans="1:15" x14ac:dyDescent="0.25">
      <c r="A99" s="1" t="s">
        <v>18</v>
      </c>
      <c r="B99" s="1" t="s">
        <v>57</v>
      </c>
      <c r="C99" s="1" t="s">
        <v>276</v>
      </c>
      <c r="D99" s="1" t="s">
        <v>59</v>
      </c>
      <c r="E99" s="2" t="s">
        <v>208</v>
      </c>
      <c r="F99" t="s">
        <v>209</v>
      </c>
      <c r="G99" t="s">
        <v>19</v>
      </c>
      <c r="H99">
        <v>2458</v>
      </c>
      <c r="I99" s="3">
        <v>45839</v>
      </c>
      <c r="J99" s="3">
        <v>45839</v>
      </c>
      <c r="K99" t="s">
        <v>277</v>
      </c>
      <c r="L99" t="s">
        <v>65</v>
      </c>
      <c r="M99" s="4">
        <f>[1]!Table5[[#This Row],[Beløb]]/[1]!Table5[[#This Row],[Beløb (RV)]]</f>
        <v>1</v>
      </c>
      <c r="N99" s="4">
        <v>165755.25</v>
      </c>
      <c r="O99" s="4">
        <v>165755.25</v>
      </c>
    </row>
    <row r="100" spans="1:15" x14ac:dyDescent="0.25">
      <c r="A100" s="1" t="s">
        <v>18</v>
      </c>
      <c r="B100" s="1" t="s">
        <v>57</v>
      </c>
      <c r="C100" s="1" t="s">
        <v>278</v>
      </c>
      <c r="D100" s="1" t="s">
        <v>59</v>
      </c>
      <c r="E100" s="2" t="s">
        <v>208</v>
      </c>
      <c r="F100" t="s">
        <v>209</v>
      </c>
      <c r="G100" t="s">
        <v>19</v>
      </c>
      <c r="H100">
        <v>2459</v>
      </c>
      <c r="I100" s="3">
        <v>45839</v>
      </c>
      <c r="J100" s="3">
        <v>45869</v>
      </c>
      <c r="K100" t="s">
        <v>279</v>
      </c>
      <c r="L100" t="s">
        <v>65</v>
      </c>
      <c r="M100" s="4">
        <f>[1]!Table5[[#This Row],[Beløb]]/[1]!Table5[[#This Row],[Beløb (RV)]]</f>
        <v>1</v>
      </c>
      <c r="N100" s="4">
        <v>219251.74</v>
      </c>
      <c r="O100" s="4">
        <v>219251.74</v>
      </c>
    </row>
    <row r="101" spans="1:15" x14ac:dyDescent="0.25">
      <c r="A101" s="1" t="s">
        <v>18</v>
      </c>
      <c r="B101" s="1" t="s">
        <v>57</v>
      </c>
      <c r="C101" s="1" t="s">
        <v>280</v>
      </c>
      <c r="D101" s="1" t="s">
        <v>59</v>
      </c>
      <c r="E101" s="2" t="s">
        <v>208</v>
      </c>
      <c r="F101" t="s">
        <v>209</v>
      </c>
      <c r="G101" t="s">
        <v>19</v>
      </c>
      <c r="H101">
        <v>2460</v>
      </c>
      <c r="I101" s="3">
        <v>45839</v>
      </c>
      <c r="J101" s="3">
        <v>45839</v>
      </c>
      <c r="K101" t="s">
        <v>281</v>
      </c>
      <c r="L101" t="s">
        <v>65</v>
      </c>
      <c r="M101" s="4">
        <f>[1]!Table5[[#This Row],[Beløb]]/[1]!Table5[[#This Row],[Beløb (RV)]]</f>
        <v>1</v>
      </c>
      <c r="N101" s="4">
        <v>500000</v>
      </c>
      <c r="O101" s="4">
        <v>500000</v>
      </c>
    </row>
    <row r="102" spans="1:15" x14ac:dyDescent="0.25">
      <c r="A102" s="1" t="s">
        <v>18</v>
      </c>
      <c r="B102" s="1" t="s">
        <v>57</v>
      </c>
      <c r="C102" s="1" t="s">
        <v>282</v>
      </c>
      <c r="D102" s="1" t="s">
        <v>59</v>
      </c>
      <c r="E102" s="2" t="s">
        <v>208</v>
      </c>
      <c r="F102" t="s">
        <v>209</v>
      </c>
      <c r="G102" t="s">
        <v>19</v>
      </c>
      <c r="H102">
        <v>2461</v>
      </c>
      <c r="I102" s="3">
        <v>45839</v>
      </c>
      <c r="J102" s="3">
        <v>45839</v>
      </c>
      <c r="K102" t="s">
        <v>283</v>
      </c>
      <c r="L102" t="s">
        <v>65</v>
      </c>
      <c r="M102" s="4">
        <f>[1]!Table5[[#This Row],[Beløb]]/[1]!Table5[[#This Row],[Beløb (RV)]]</f>
        <v>1</v>
      </c>
      <c r="N102" s="4">
        <v>31200.48</v>
      </c>
      <c r="O102" s="4">
        <v>31200.48</v>
      </c>
    </row>
    <row r="103" spans="1:15" x14ac:dyDescent="0.25">
      <c r="A103" s="1" t="s">
        <v>18</v>
      </c>
      <c r="B103" s="1" t="s">
        <v>57</v>
      </c>
      <c r="C103" s="1" t="s">
        <v>284</v>
      </c>
      <c r="D103" s="1" t="s">
        <v>59</v>
      </c>
      <c r="E103" s="2" t="s">
        <v>208</v>
      </c>
      <c r="F103" t="s">
        <v>209</v>
      </c>
      <c r="G103" t="s">
        <v>19</v>
      </c>
      <c r="H103">
        <v>2464</v>
      </c>
      <c r="I103" s="3">
        <v>45911</v>
      </c>
      <c r="J103" s="3">
        <v>45941</v>
      </c>
      <c r="K103" t="s">
        <v>285</v>
      </c>
      <c r="L103" t="s">
        <v>65</v>
      </c>
      <c r="M103" s="4">
        <f>[1]!Table5[[#This Row],[Beløb]]/[1]!Table5[[#This Row],[Beløb (RV)]]</f>
        <v>1</v>
      </c>
      <c r="N103" s="4">
        <v>-5840</v>
      </c>
      <c r="O103" s="4">
        <v>-5840</v>
      </c>
    </row>
    <row r="104" spans="1:15" x14ac:dyDescent="0.25">
      <c r="A104" s="1" t="s">
        <v>18</v>
      </c>
      <c r="B104" s="1" t="s">
        <v>57</v>
      </c>
      <c r="C104" s="1" t="s">
        <v>286</v>
      </c>
      <c r="D104" s="1" t="s">
        <v>59</v>
      </c>
      <c r="E104" s="2" t="s">
        <v>208</v>
      </c>
      <c r="F104" t="s">
        <v>209</v>
      </c>
      <c r="G104" t="s">
        <v>19</v>
      </c>
      <c r="H104">
        <v>2465</v>
      </c>
      <c r="I104" s="3">
        <v>45910</v>
      </c>
      <c r="J104" s="3">
        <v>45940</v>
      </c>
      <c r="K104" t="s">
        <v>287</v>
      </c>
      <c r="L104" t="s">
        <v>65</v>
      </c>
      <c r="M104" s="4">
        <f>[1]!Table5[[#This Row],[Beløb]]/[1]!Table5[[#This Row],[Beløb (RV)]]</f>
        <v>1</v>
      </c>
      <c r="N104" s="4">
        <v>5019.5</v>
      </c>
      <c r="O104" s="4">
        <v>5019.5</v>
      </c>
    </row>
    <row r="105" spans="1:15" x14ac:dyDescent="0.25">
      <c r="A105" s="1" t="s">
        <v>18</v>
      </c>
      <c r="B105" s="1" t="s">
        <v>57</v>
      </c>
      <c r="C105" s="1" t="s">
        <v>288</v>
      </c>
      <c r="D105" s="1" t="s">
        <v>59</v>
      </c>
      <c r="E105" s="2" t="s">
        <v>208</v>
      </c>
      <c r="F105" t="s">
        <v>209</v>
      </c>
      <c r="G105" t="s">
        <v>19</v>
      </c>
      <c r="H105">
        <v>2466</v>
      </c>
      <c r="I105" s="3">
        <v>45910</v>
      </c>
      <c r="J105" s="3">
        <v>45940</v>
      </c>
      <c r="K105" t="s">
        <v>289</v>
      </c>
      <c r="L105" t="s">
        <v>65</v>
      </c>
      <c r="M105" s="4">
        <f>[1]!Table5[[#This Row],[Beløb]]/[1]!Table5[[#This Row],[Beløb (RV)]]</f>
        <v>1</v>
      </c>
      <c r="N105" s="4">
        <v>-10038.1</v>
      </c>
      <c r="O105" s="4">
        <v>-10038.1</v>
      </c>
    </row>
    <row r="106" spans="1:15" x14ac:dyDescent="0.25">
      <c r="A106" s="1" t="s">
        <v>18</v>
      </c>
      <c r="B106" s="1" t="s">
        <v>57</v>
      </c>
      <c r="C106" s="1" t="s">
        <v>290</v>
      </c>
      <c r="D106" s="1" t="s">
        <v>59</v>
      </c>
      <c r="E106" s="2" t="s">
        <v>208</v>
      </c>
      <c r="F106" t="s">
        <v>209</v>
      </c>
      <c r="G106" t="s">
        <v>19</v>
      </c>
      <c r="H106">
        <v>2496</v>
      </c>
      <c r="I106" s="3">
        <v>45903</v>
      </c>
      <c r="J106" s="3">
        <v>45933</v>
      </c>
      <c r="K106" t="s">
        <v>291</v>
      </c>
      <c r="L106" t="s">
        <v>65</v>
      </c>
      <c r="M106" s="4">
        <f>[1]!Table5[[#This Row],[Beløb]]/[1]!Table5[[#This Row],[Beløb (RV)]]</f>
        <v>1</v>
      </c>
      <c r="N106" s="4">
        <v>-30000.95</v>
      </c>
      <c r="O106" s="4">
        <v>-30000.95</v>
      </c>
    </row>
    <row r="107" spans="1:15" x14ac:dyDescent="0.25">
      <c r="A107" s="1" t="s">
        <v>18</v>
      </c>
      <c r="B107" s="1" t="s">
        <v>57</v>
      </c>
      <c r="C107" s="1" t="s">
        <v>292</v>
      </c>
      <c r="D107" s="1" t="s">
        <v>59</v>
      </c>
      <c r="E107" s="2" t="s">
        <v>208</v>
      </c>
      <c r="F107" t="s">
        <v>209</v>
      </c>
      <c r="G107" t="s">
        <v>19</v>
      </c>
      <c r="H107">
        <v>2497</v>
      </c>
      <c r="I107" s="3">
        <v>45919</v>
      </c>
      <c r="J107" s="3">
        <v>45949</v>
      </c>
      <c r="K107" t="s">
        <v>293</v>
      </c>
      <c r="L107" t="s">
        <v>65</v>
      </c>
      <c r="M107" s="4">
        <f>[1]!Table5[[#This Row],[Beløb]]/[1]!Table5[[#This Row],[Beløb (RV)]]</f>
        <v>1</v>
      </c>
      <c r="N107" s="4">
        <v>22500.720000000001</v>
      </c>
      <c r="O107" s="4">
        <v>22500.720000000001</v>
      </c>
    </row>
    <row r="108" spans="1:15" x14ac:dyDescent="0.25">
      <c r="A108" s="1" t="s">
        <v>18</v>
      </c>
      <c r="B108" s="1" t="s">
        <v>57</v>
      </c>
      <c r="C108" s="1" t="s">
        <v>294</v>
      </c>
      <c r="D108" s="1" t="s">
        <v>59</v>
      </c>
      <c r="E108" s="2" t="s">
        <v>208</v>
      </c>
      <c r="F108" t="s">
        <v>209</v>
      </c>
      <c r="G108" t="s">
        <v>19</v>
      </c>
      <c r="H108">
        <v>2559</v>
      </c>
      <c r="I108" s="3">
        <v>45939</v>
      </c>
      <c r="J108" s="3">
        <v>45969</v>
      </c>
      <c r="K108" t="s">
        <v>295</v>
      </c>
      <c r="L108" t="s">
        <v>65</v>
      </c>
      <c r="M108" s="4">
        <f>[1]!Table5[[#This Row],[Beløb]]/[1]!Table5[[#This Row],[Beløb (RV)]]</f>
        <v>1</v>
      </c>
      <c r="N108" s="4">
        <v>-59559.49</v>
      </c>
      <c r="O108" s="4">
        <v>-59559.49</v>
      </c>
    </row>
    <row r="109" spans="1:15" x14ac:dyDescent="0.25">
      <c r="A109" s="1" t="s">
        <v>18</v>
      </c>
      <c r="B109" s="1" t="s">
        <v>57</v>
      </c>
      <c r="C109" s="1" t="s">
        <v>296</v>
      </c>
      <c r="D109" s="1" t="s">
        <v>59</v>
      </c>
      <c r="E109" s="2" t="s">
        <v>208</v>
      </c>
      <c r="F109" t="s">
        <v>209</v>
      </c>
      <c r="G109" t="s">
        <v>19</v>
      </c>
      <c r="H109">
        <v>2582</v>
      </c>
      <c r="I109" s="3">
        <v>45933</v>
      </c>
      <c r="J109" s="3">
        <v>45963</v>
      </c>
      <c r="K109" t="s">
        <v>297</v>
      </c>
      <c r="L109" t="s">
        <v>65</v>
      </c>
      <c r="M109" s="4">
        <f>[1]!Table5[[#This Row],[Beløb]]/[1]!Table5[[#This Row],[Beløb (RV)]]</f>
        <v>1</v>
      </c>
      <c r="N109" s="4">
        <v>706.88</v>
      </c>
      <c r="O109" s="4">
        <v>706.88</v>
      </c>
    </row>
    <row r="110" spans="1:15" x14ac:dyDescent="0.25">
      <c r="A110" s="1" t="s">
        <v>18</v>
      </c>
      <c r="B110" s="1" t="s">
        <v>57</v>
      </c>
      <c r="C110" s="1" t="s">
        <v>298</v>
      </c>
      <c r="D110" s="1" t="s">
        <v>59</v>
      </c>
      <c r="E110" s="2" t="s">
        <v>208</v>
      </c>
      <c r="F110" t="s">
        <v>209</v>
      </c>
      <c r="G110" t="s">
        <v>19</v>
      </c>
      <c r="H110">
        <v>2583</v>
      </c>
      <c r="I110" s="3">
        <v>45932</v>
      </c>
      <c r="J110" s="3">
        <v>45962</v>
      </c>
      <c r="K110" t="s">
        <v>299</v>
      </c>
      <c r="L110" t="s">
        <v>65</v>
      </c>
      <c r="M110" s="4">
        <f>[1]!Table5[[#This Row],[Beløb]]/[1]!Table5[[#This Row],[Beløb (RV)]]</f>
        <v>1</v>
      </c>
      <c r="N110" s="4">
        <v>20575.330000000002</v>
      </c>
      <c r="O110" s="4">
        <v>20575.330000000002</v>
      </c>
    </row>
    <row r="111" spans="1:15" x14ac:dyDescent="0.25">
      <c r="A111" s="1" t="s">
        <v>18</v>
      </c>
      <c r="B111" s="1" t="s">
        <v>57</v>
      </c>
      <c r="C111" s="1" t="s">
        <v>300</v>
      </c>
      <c r="D111" s="1" t="s">
        <v>59</v>
      </c>
      <c r="E111" s="2" t="s">
        <v>208</v>
      </c>
      <c r="F111" t="s">
        <v>209</v>
      </c>
      <c r="G111" t="s">
        <v>19</v>
      </c>
      <c r="H111">
        <v>2584</v>
      </c>
      <c r="I111" s="3">
        <v>45932</v>
      </c>
      <c r="J111" s="3">
        <v>45962</v>
      </c>
      <c r="K111" t="s">
        <v>301</v>
      </c>
      <c r="L111" t="s">
        <v>65</v>
      </c>
      <c r="M111" s="4">
        <f>[1]!Table5[[#This Row],[Beløb]]/[1]!Table5[[#This Row],[Beløb (RV)]]</f>
        <v>1</v>
      </c>
      <c r="N111" s="4">
        <v>11956.98</v>
      </c>
      <c r="O111" s="4">
        <v>11956.98</v>
      </c>
    </row>
    <row r="112" spans="1:15" x14ac:dyDescent="0.25">
      <c r="A112" s="1" t="s">
        <v>18</v>
      </c>
      <c r="B112" s="1" t="s">
        <v>57</v>
      </c>
      <c r="C112" s="1" t="s">
        <v>302</v>
      </c>
      <c r="D112" s="1" t="s">
        <v>59</v>
      </c>
      <c r="E112" s="2" t="s">
        <v>208</v>
      </c>
      <c r="F112" t="s">
        <v>209</v>
      </c>
      <c r="G112" t="s">
        <v>19</v>
      </c>
      <c r="H112">
        <v>2633</v>
      </c>
      <c r="I112" s="3">
        <v>45955</v>
      </c>
      <c r="J112" s="3">
        <v>45976</v>
      </c>
      <c r="K112" t="s">
        <v>303</v>
      </c>
      <c r="L112" t="s">
        <v>65</v>
      </c>
      <c r="M112" s="4">
        <f>[1]!Table5[[#This Row],[Beløb]]/[1]!Table5[[#This Row],[Beløb (RV)]]</f>
        <v>1</v>
      </c>
      <c r="N112" s="4">
        <v>9016.5300000000007</v>
      </c>
      <c r="O112" s="4">
        <v>9016.5300000000007</v>
      </c>
    </row>
    <row r="113" spans="1:15" x14ac:dyDescent="0.25">
      <c r="A113" s="1" t="s">
        <v>18</v>
      </c>
      <c r="B113" s="1" t="s">
        <v>57</v>
      </c>
      <c r="C113" s="1" t="s">
        <v>304</v>
      </c>
      <c r="D113" s="1" t="s">
        <v>59</v>
      </c>
      <c r="E113" s="2" t="s">
        <v>208</v>
      </c>
      <c r="F113" t="s">
        <v>209</v>
      </c>
      <c r="G113" t="s">
        <v>19</v>
      </c>
      <c r="H113">
        <v>2649</v>
      </c>
      <c r="I113" s="3">
        <v>45961</v>
      </c>
      <c r="J113" s="3">
        <v>45986</v>
      </c>
      <c r="K113" t="s">
        <v>305</v>
      </c>
      <c r="L113" t="s">
        <v>65</v>
      </c>
      <c r="M113" s="4">
        <f>[1]!Table5[[#This Row],[Beløb]]/[1]!Table5[[#This Row],[Beløb (RV)]]</f>
        <v>1</v>
      </c>
      <c r="N113" s="4">
        <v>9504.76</v>
      </c>
      <c r="O113" s="4">
        <v>9504.76</v>
      </c>
    </row>
    <row r="114" spans="1:15" x14ac:dyDescent="0.25">
      <c r="A114" s="1" t="s">
        <v>18</v>
      </c>
      <c r="B114" s="1" t="s">
        <v>57</v>
      </c>
      <c r="C114" s="1" t="s">
        <v>306</v>
      </c>
      <c r="D114" s="1" t="s">
        <v>59</v>
      </c>
      <c r="E114" s="2" t="s">
        <v>208</v>
      </c>
      <c r="F114" t="s">
        <v>209</v>
      </c>
      <c r="G114" t="s">
        <v>19</v>
      </c>
      <c r="H114">
        <v>2700</v>
      </c>
      <c r="I114" s="3">
        <v>45989</v>
      </c>
      <c r="J114" s="3">
        <v>46006</v>
      </c>
      <c r="K114" t="s">
        <v>307</v>
      </c>
      <c r="L114" t="s">
        <v>65</v>
      </c>
      <c r="M114" s="4">
        <f>[1]!Table5[[#This Row],[Beløb]]/[1]!Table5[[#This Row],[Beløb (RV)]]</f>
        <v>1</v>
      </c>
      <c r="N114" s="4">
        <v>13246.71</v>
      </c>
      <c r="O114" s="4">
        <v>13246.71</v>
      </c>
    </row>
    <row r="115" spans="1:15" x14ac:dyDescent="0.25">
      <c r="A115" s="1" t="s">
        <v>18</v>
      </c>
      <c r="B115" s="1" t="s">
        <v>57</v>
      </c>
      <c r="C115" s="1" t="s">
        <v>308</v>
      </c>
      <c r="D115" s="1" t="s">
        <v>59</v>
      </c>
      <c r="E115" s="2" t="s">
        <v>208</v>
      </c>
      <c r="F115" t="s">
        <v>209</v>
      </c>
      <c r="G115" t="s">
        <v>19</v>
      </c>
      <c r="H115">
        <v>2710</v>
      </c>
      <c r="I115" s="3">
        <v>45974</v>
      </c>
      <c r="J115" s="3">
        <v>46006</v>
      </c>
      <c r="K115" t="s">
        <v>309</v>
      </c>
      <c r="L115" t="s">
        <v>65</v>
      </c>
      <c r="M115" s="4">
        <f>[1]!Table5[[#This Row],[Beløb]]/[1]!Table5[[#This Row],[Beløb (RV)]]</f>
        <v>1</v>
      </c>
      <c r="N115" s="4">
        <v>-326246.40000000002</v>
      </c>
      <c r="O115" s="4">
        <v>-326246.40000000002</v>
      </c>
    </row>
  </sheetData>
  <phoneticPr fontId="4" type="noConversion"/>
  <pageMargins left="0.7" right="0.7" top="0.75" bottom="0.75" header="0.3" footer="0.3"/>
  <legacy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Finanskladdelinje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Bjørklund</dc:creator>
  <cp:lastModifiedBy>Frank Bjørklund</cp:lastModifiedBy>
  <dcterms:created xsi:type="dcterms:W3CDTF">2026-02-19T09:45:29Z</dcterms:created>
  <dcterms:modified xsi:type="dcterms:W3CDTF">2026-02-19T09:45:29Z</dcterms:modified>
</cp:coreProperties>
</file>