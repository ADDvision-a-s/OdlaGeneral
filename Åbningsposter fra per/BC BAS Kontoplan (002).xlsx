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av\OdlaGeneral\Åbningsposter fra per\"/>
    </mc:Choice>
  </mc:AlternateContent>
  <xr:revisionPtr revIDLastSave="0" documentId="8_{B3EB1E5C-1BA2-49E3-A4E2-9E5CCB2AC0BF}" xr6:coauthVersionLast="47" xr6:coauthVersionMax="47" xr10:uidLastSave="{00000000-0000-0000-0000-000000000000}"/>
  <bookViews>
    <workbookView xWindow="-31320" yWindow="3510" windowWidth="28800" windowHeight="15345" xr2:uid="{00000000-000D-0000-FFFF-FFFF00000000}"/>
  </bookViews>
  <sheets>
    <sheet name="Sheet1" sheetId="1" r:id="rId1"/>
    <sheet name="Sheet2" sheetId="2" r:id="rId2"/>
    <sheet name="Ark1" sheetId="3" r:id="rId3"/>
  </sheets>
  <definedNames>
    <definedName name="_xlnm.Print_Titles" localSheetId="0">Sheet1!$1:$12</definedName>
    <definedName name="_xlnm.Print_Titles" localSheetId="1">Sheet2!$1:$12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1" i="3" l="1"/>
  <c r="X18" i="1"/>
  <c r="Y18" i="1"/>
  <c r="X19" i="1"/>
  <c r="Y19" i="1"/>
  <c r="X20" i="1"/>
  <c r="Y20" i="1"/>
  <c r="X21" i="1"/>
  <c r="Y21" i="1"/>
  <c r="X22" i="1"/>
  <c r="Y22" i="1"/>
  <c r="X23" i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X40" i="1"/>
  <c r="Y40" i="1"/>
  <c r="X41" i="1"/>
  <c r="Y41" i="1"/>
  <c r="X42" i="1"/>
  <c r="Y42" i="1"/>
  <c r="X43" i="1"/>
  <c r="Y43" i="1"/>
  <c r="X44" i="1"/>
  <c r="Y44" i="1"/>
  <c r="X45" i="1"/>
  <c r="Y45" i="1"/>
  <c r="X46" i="1"/>
  <c r="Y46" i="1"/>
  <c r="X47" i="1"/>
  <c r="Y47" i="1"/>
  <c r="X48" i="1"/>
  <c r="Y48" i="1"/>
  <c r="X49" i="1"/>
  <c r="Y49" i="1"/>
  <c r="X50" i="1"/>
  <c r="Y50" i="1"/>
  <c r="X51" i="1"/>
  <c r="Y51" i="1"/>
  <c r="X52" i="1"/>
  <c r="Y52" i="1"/>
  <c r="X53" i="1"/>
  <c r="Y53" i="1"/>
  <c r="X54" i="1"/>
  <c r="Y54" i="1"/>
  <c r="X55" i="1"/>
  <c r="Y55" i="1"/>
  <c r="X56" i="1"/>
  <c r="Y56" i="1"/>
  <c r="X57" i="1"/>
  <c r="Y57" i="1"/>
  <c r="X58" i="1"/>
  <c r="Y58" i="1"/>
  <c r="X59" i="1"/>
  <c r="Y59" i="1"/>
  <c r="X60" i="1"/>
  <c r="Y60" i="1"/>
  <c r="X61" i="1"/>
  <c r="Y61" i="1"/>
  <c r="X62" i="1"/>
  <c r="Y62" i="1"/>
  <c r="X63" i="1"/>
  <c r="Y63" i="1"/>
  <c r="X64" i="1"/>
  <c r="Y64" i="1"/>
  <c r="X65" i="1"/>
  <c r="Y65" i="1"/>
  <c r="X66" i="1"/>
  <c r="Y66" i="1"/>
  <c r="X67" i="1"/>
  <c r="Y67" i="1"/>
  <c r="X68" i="1"/>
  <c r="Y68" i="1"/>
  <c r="X69" i="1"/>
  <c r="Y69" i="1"/>
  <c r="X70" i="1"/>
  <c r="Y70" i="1"/>
  <c r="X71" i="1"/>
  <c r="Y71" i="1"/>
  <c r="X72" i="1"/>
  <c r="Y72" i="1"/>
  <c r="X73" i="1"/>
  <c r="Y73" i="1"/>
  <c r="X74" i="1"/>
  <c r="Y74" i="1"/>
  <c r="X75" i="1"/>
  <c r="Y75" i="1"/>
  <c r="X76" i="1"/>
  <c r="Y76" i="1"/>
  <c r="X77" i="1"/>
  <c r="Y77" i="1"/>
  <c r="X78" i="1"/>
  <c r="Y78" i="1"/>
  <c r="X79" i="1"/>
  <c r="Y79" i="1"/>
  <c r="X80" i="1"/>
  <c r="Y80" i="1"/>
  <c r="X81" i="1"/>
  <c r="Y81" i="1"/>
  <c r="X82" i="1"/>
  <c r="Y82" i="1"/>
  <c r="X83" i="1"/>
  <c r="Y83" i="1"/>
  <c r="X84" i="1"/>
  <c r="Y84" i="1"/>
  <c r="X85" i="1"/>
  <c r="Y85" i="1"/>
  <c r="X86" i="1"/>
  <c r="Y86" i="1"/>
  <c r="X87" i="1"/>
  <c r="Y87" i="1"/>
  <c r="X88" i="1"/>
  <c r="Y88" i="1"/>
  <c r="X89" i="1"/>
  <c r="Y89" i="1"/>
  <c r="X90" i="1"/>
  <c r="Y90" i="1"/>
  <c r="X91" i="1"/>
  <c r="Y91" i="1"/>
  <c r="X92" i="1"/>
  <c r="Y92" i="1"/>
  <c r="X93" i="1"/>
  <c r="Y93" i="1"/>
  <c r="X94" i="1"/>
  <c r="Y94" i="1"/>
  <c r="X95" i="1"/>
  <c r="Y95" i="1"/>
  <c r="X96" i="1"/>
  <c r="Y96" i="1"/>
  <c r="X97" i="1"/>
  <c r="Y97" i="1"/>
  <c r="X98" i="1"/>
  <c r="Y98" i="1"/>
  <c r="X99" i="1"/>
  <c r="Y99" i="1"/>
  <c r="X100" i="1"/>
  <c r="Y100" i="1"/>
  <c r="X101" i="1"/>
  <c r="Y101" i="1"/>
  <c r="X102" i="1"/>
  <c r="Y102" i="1"/>
  <c r="X103" i="1"/>
  <c r="Y103" i="1"/>
  <c r="X104" i="1"/>
  <c r="Y104" i="1"/>
  <c r="X105" i="1"/>
  <c r="Y105" i="1"/>
  <c r="X106" i="1"/>
  <c r="Y106" i="1"/>
  <c r="X107" i="1"/>
  <c r="Y107" i="1"/>
  <c r="X108" i="1"/>
  <c r="Y108" i="1"/>
  <c r="X109" i="1"/>
  <c r="Y109" i="1"/>
  <c r="X110" i="1"/>
  <c r="Y110" i="1"/>
  <c r="X111" i="1"/>
  <c r="Y111" i="1"/>
  <c r="X112" i="1"/>
  <c r="Y112" i="1"/>
  <c r="X113" i="1"/>
  <c r="Y113" i="1"/>
  <c r="X114" i="1"/>
  <c r="Y114" i="1"/>
  <c r="X115" i="1"/>
  <c r="Y115" i="1"/>
  <c r="X116" i="1"/>
  <c r="Y116" i="1"/>
  <c r="X117" i="1"/>
  <c r="Y117" i="1"/>
  <c r="X118" i="1"/>
  <c r="Y118" i="1"/>
  <c r="X119" i="1"/>
  <c r="Y119" i="1"/>
  <c r="X120" i="1"/>
  <c r="Y120" i="1"/>
  <c r="X121" i="1"/>
  <c r="Y121" i="1"/>
  <c r="X122" i="1"/>
  <c r="Y122" i="1"/>
  <c r="X123" i="1"/>
  <c r="Y123" i="1"/>
  <c r="X124" i="1"/>
  <c r="Y124" i="1"/>
  <c r="X125" i="1"/>
  <c r="Y125" i="1"/>
  <c r="X126" i="1"/>
  <c r="Y126" i="1"/>
  <c r="X127" i="1"/>
  <c r="Y127" i="1"/>
  <c r="X128" i="1"/>
  <c r="Y128" i="1"/>
  <c r="X129" i="1"/>
  <c r="Y129" i="1"/>
  <c r="X130" i="1"/>
  <c r="Y130" i="1"/>
  <c r="Y17" i="1"/>
  <c r="X17" i="1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2" i="3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7" i="2"/>
</calcChain>
</file>

<file path=xl/sharedStrings.xml><?xml version="1.0" encoding="utf-8"?>
<sst xmlns="http://schemas.openxmlformats.org/spreadsheetml/2006/main" count="4945" uniqueCount="609">
  <si>
    <t>Kontoplan</t>
  </si>
  <si>
    <t/>
  </si>
  <si>
    <t>den 27 december 2025</t>
  </si>
  <si>
    <t>Sida 1 / 2</t>
  </si>
  <si>
    <t>USER_B1C8654F5C2B4759BB1E86754FC7249F</t>
  </si>
  <si>
    <t>ODLANU i Sverige AB</t>
  </si>
  <si>
    <t>Nr</t>
  </si>
  <si>
    <t>Namn</t>
  </si>
  <si>
    <t>Resultaträkning/Balansräkning</t>
  </si>
  <si>
    <t>Kontotyp</t>
  </si>
  <si>
    <t>Direktbokföring</t>
  </si>
  <si>
    <t>Summeringsintervall</t>
  </si>
  <si>
    <t>Typ av bokföring</t>
  </si>
  <si>
    <t>Gen. rörelsebokföringsmall</t>
  </si>
  <si>
    <t>Produktbokföringsmall</t>
  </si>
  <si>
    <t>Konsoliderad omräkningsmetod</t>
  </si>
  <si>
    <t>BALANSRÄKNING</t>
  </si>
  <si>
    <t>Balansräkning</t>
  </si>
  <si>
    <t>Rubrik</t>
  </si>
  <si>
    <t xml:space="preserve"> </t>
  </si>
  <si>
    <t>Genomsnittskurs (manuell)</t>
  </si>
  <si>
    <t>TILLGÅNGAR</t>
  </si>
  <si>
    <t>Från-Summa</t>
  </si>
  <si>
    <t xml:space="preserve">  Anläggningstillgångar</t>
  </si>
  <si>
    <t xml:space="preserve">    Materiella anl.tillgångar</t>
  </si>
  <si>
    <t xml:space="preserve">      Byggnader och mark, Från-summa</t>
  </si>
  <si>
    <t xml:space="preserve">        Byggnader och mark</t>
  </si>
  <si>
    <t>Bokföring</t>
  </si>
  <si>
    <t>Ja</t>
  </si>
  <si>
    <t xml:space="preserve">        Ökningar under året – byggnader</t>
  </si>
  <si>
    <t>Inköp</t>
  </si>
  <si>
    <t>INRIKES</t>
  </si>
  <si>
    <t>DIV</t>
  </si>
  <si>
    <t xml:space="preserve">        Minskningar under året – byggnader</t>
  </si>
  <si>
    <t>Försäljning</t>
  </si>
  <si>
    <t xml:space="preserve">      Byggnader och mark totalt</t>
  </si>
  <si>
    <t>Till-Summa</t>
  </si>
  <si>
    <t>1100..1190</t>
  </si>
  <si>
    <t xml:space="preserve">      Maskiner och inventarier, Från-summa</t>
  </si>
  <si>
    <t xml:space="preserve">        Maskiner och inventarier</t>
  </si>
  <si>
    <t xml:space="preserve">        Ökningar under året</t>
  </si>
  <si>
    <t xml:space="preserve">        Minskningar under året</t>
  </si>
  <si>
    <t xml:space="preserve">        Ackumulerade avskrivningar</t>
  </si>
  <si>
    <t xml:space="preserve">      Maskiner och inventarier total</t>
  </si>
  <si>
    <t>1200..1220</t>
  </si>
  <si>
    <t xml:space="preserve">      Fordon, Från-Summa</t>
  </si>
  <si>
    <t xml:space="preserve">        Fordon</t>
  </si>
  <si>
    <t xml:space="preserve">        Minskningar under året – fordon</t>
  </si>
  <si>
    <t xml:space="preserve">        Ack. avskrivning på bilar</t>
  </si>
  <si>
    <t xml:space="preserve">      Bilar och transp.medel totalt</t>
  </si>
  <si>
    <t>1240..1250</t>
  </si>
  <si>
    <t xml:space="preserve">    Materiella anl.tillg. totalt</t>
  </si>
  <si>
    <t>1005..1260</t>
  </si>
  <si>
    <t xml:space="preserve">    Värdepapper</t>
  </si>
  <si>
    <t xml:space="preserve">      Aktier och andelar koncernftg</t>
  </si>
  <si>
    <t xml:space="preserve">    Finansiella anlägg.tillg. tot.</t>
  </si>
  <si>
    <t>1300..1397</t>
  </si>
  <si>
    <t xml:space="preserve">  Anläggningstillgångar totalt</t>
  </si>
  <si>
    <t>1003..1398</t>
  </si>
  <si>
    <t xml:space="preserve">  Omsättningstillgångar</t>
  </si>
  <si>
    <t xml:space="preserve">    Lager</t>
  </si>
  <si>
    <t xml:space="preserve">      Råmaterial</t>
  </si>
  <si>
    <t xml:space="preserve">      Råmaterial (interim)</t>
  </si>
  <si>
    <t xml:space="preserve">      PIA för projekt</t>
  </si>
  <si>
    <t xml:space="preserve">        Produkter i arbete intäkter</t>
  </si>
  <si>
    <t xml:space="preserve">          PIA-projektförsäljning</t>
  </si>
  <si>
    <t xml:space="preserve">          Fakturerad projektförsäljning</t>
  </si>
  <si>
    <t xml:space="preserve">        PIA-försäljning, totalt</t>
  </si>
  <si>
    <t>1431..1434</t>
  </si>
  <si>
    <t xml:space="preserve">        Produkter i arbete kostnader</t>
  </si>
  <si>
    <t xml:space="preserve">          PIA-projektkostnader</t>
  </si>
  <si>
    <t xml:space="preserve">          Upplupna projektkostnader</t>
  </si>
  <si>
    <t xml:space="preserve">        PIA-kostnader, totalt</t>
  </si>
  <si>
    <t>1435..1438</t>
  </si>
  <si>
    <t xml:space="preserve">        PIA färdigvaror</t>
  </si>
  <si>
    <t xml:space="preserve">      PIA för projekt, totalt</t>
  </si>
  <si>
    <t>1430..1449</t>
  </si>
  <si>
    <t xml:space="preserve">      Lager färdigvaror</t>
  </si>
  <si>
    <t xml:space="preserve">      Lager färdigvaror (interim)</t>
  </si>
  <si>
    <t xml:space="preserve">      Primo-lager</t>
  </si>
  <si>
    <t xml:space="preserve">      Lager varor</t>
  </si>
  <si>
    <t xml:space="preserve">      Lager varor (interim)</t>
  </si>
  <si>
    <t xml:space="preserve">    Lager totalt</t>
  </si>
  <si>
    <t>1401..1499</t>
  </si>
  <si>
    <t xml:space="preserve">    Kundreskontra</t>
  </si>
  <si>
    <t xml:space="preserve">      Kunder inrikes</t>
  </si>
  <si>
    <t xml:space="preserve">      Kundfordringar utländska</t>
  </si>
  <si>
    <t xml:space="preserve">      Upplupna inkomsträntor</t>
  </si>
  <si>
    <t xml:space="preserve">      Övriga fordringar</t>
  </si>
  <si>
    <t xml:space="preserve">    Fordringar totalt</t>
  </si>
  <si>
    <t>1500..1599</t>
  </si>
  <si>
    <t xml:space="preserve">    Utlev. ej fakturerade</t>
  </si>
  <si>
    <t xml:space="preserve">    Likvida tillgångar</t>
  </si>
  <si>
    <t xml:space="preserve">      Kontant</t>
  </si>
  <si>
    <t xml:space="preserve">      Postgiro</t>
  </si>
  <si>
    <t xml:space="preserve">      Bank, BVA</t>
  </si>
  <si>
    <t xml:space="preserve">      Bank valutakonto</t>
  </si>
  <si>
    <t xml:space="preserve">    Likvida tillgångar totalt</t>
  </si>
  <si>
    <t>1900..1949</t>
  </si>
  <si>
    <t xml:space="preserve">  Omsättningstillgångar, totalt</t>
  </si>
  <si>
    <t>1400..1998</t>
  </si>
  <si>
    <t>Tillgångar totalt</t>
  </si>
  <si>
    <t>1002..1999</t>
  </si>
  <si>
    <t>Eget kapital och skulder</t>
  </si>
  <si>
    <t xml:space="preserve">  Eget kapital delägare</t>
  </si>
  <si>
    <t xml:space="preserve">  Aktiekapital</t>
  </si>
  <si>
    <t xml:space="preserve">  Uppskjuten skatt</t>
  </si>
  <si>
    <t xml:space="preserve">  Balanserad vinst eller förlust</t>
  </si>
  <si>
    <t xml:space="preserve">  Eget kapital delägare totalt</t>
  </si>
  <si>
    <t>Summa</t>
  </si>
  <si>
    <t>2010..2099|3000..8999</t>
  </si>
  <si>
    <t xml:space="preserve">  Skatteskulder</t>
  </si>
  <si>
    <t xml:space="preserve">  Långfristiga skulder</t>
  </si>
  <si>
    <t xml:space="preserve">    Checkkredit</t>
  </si>
  <si>
    <t xml:space="preserve">    Hypotek</t>
  </si>
  <si>
    <t xml:space="preserve">    Långfristiga skulder kreditins</t>
  </si>
  <si>
    <t xml:space="preserve">  Långfristiga skulder totalt</t>
  </si>
  <si>
    <t>2300..2399</t>
  </si>
  <si>
    <t xml:space="preserve">  Kortfristiga skulder</t>
  </si>
  <si>
    <t xml:space="preserve">    Leverantörsreskontra</t>
  </si>
  <si>
    <t xml:space="preserve">      Leverantörsskulder inrikes</t>
  </si>
  <si>
    <t xml:space="preserve">      Leverantörsskulder utländska</t>
  </si>
  <si>
    <t xml:space="preserve">    Leverantörsskulder, totalt</t>
  </si>
  <si>
    <t>2440..2449</t>
  </si>
  <si>
    <t xml:space="preserve">    Övrig skatteskuld</t>
  </si>
  <si>
    <t xml:space="preserve">    Lagerjust. (interim)</t>
  </si>
  <si>
    <t xml:space="preserve">      Utgående moms 25 %</t>
  </si>
  <si>
    <t xml:space="preserve">      Ingående moms 25 % EU</t>
  </si>
  <si>
    <t xml:space="preserve">      Utg. moms omv. skattskyldighet</t>
  </si>
  <si>
    <t xml:space="preserve">      Utgående moms 12 %</t>
  </si>
  <si>
    <t xml:space="preserve">      Utgående moms 6 %</t>
  </si>
  <si>
    <t xml:space="preserve">      Ingående moms 25 %</t>
  </si>
  <si>
    <t xml:space="preserve">      Endast moms</t>
  </si>
  <si>
    <t>ONLY</t>
  </si>
  <si>
    <t xml:space="preserve">      Ingående moms 12 %</t>
  </si>
  <si>
    <t xml:space="preserve">      Ingående moms 12 % inom EU</t>
  </si>
  <si>
    <t xml:space="preserve">      Ing. moms omv. skattskyldighet</t>
  </si>
  <si>
    <t xml:space="preserve">    Moms totalt</t>
  </si>
  <si>
    <t>2600..2650</t>
  </si>
  <si>
    <t xml:space="preserve">    Skatt elektricitet</t>
  </si>
  <si>
    <t>Resultaträkning</t>
  </si>
  <si>
    <t xml:space="preserve">    Skatt naturgas</t>
  </si>
  <si>
    <t xml:space="preserve">    Skatt kol</t>
  </si>
  <si>
    <t xml:space="preserve">    Skatt vatten</t>
  </si>
  <si>
    <t xml:space="preserve">    Moms redovisningskonto</t>
  </si>
  <si>
    <t xml:space="preserve">    Innehållen personalskatt</t>
  </si>
  <si>
    <t xml:space="preserve">    Betald personalskatt</t>
  </si>
  <si>
    <t xml:space="preserve">    Övriga skulder</t>
  </si>
  <si>
    <t xml:space="preserve">    Övriga skulder totalt</t>
  </si>
  <si>
    <t>2890..2990</t>
  </si>
  <si>
    <t xml:space="preserve">    Inlev. ej fakturerade</t>
  </si>
  <si>
    <t xml:space="preserve">  Kortfristiga skulder, totalt</t>
  </si>
  <si>
    <t>2400..2995</t>
  </si>
  <si>
    <t xml:space="preserve">  Andra upplupna kostnader och uppskjutna intäkter</t>
  </si>
  <si>
    <t>Skulder totalt</t>
  </si>
  <si>
    <t>2000..2997</t>
  </si>
  <si>
    <t>SUMMA SKULDER OCH EGET KAPITAL</t>
  </si>
  <si>
    <t>2000..2999|3000..8999</t>
  </si>
  <si>
    <t>Sida 2 / 2</t>
  </si>
  <si>
    <t>RESULTATRÄKNING</t>
  </si>
  <si>
    <t>Intäkt</t>
  </si>
  <si>
    <t xml:space="preserve">  Försäljning varor</t>
  </si>
  <si>
    <t xml:space="preserve">    Försäljning varor inom Sverige</t>
  </si>
  <si>
    <t>DETALJ</t>
  </si>
  <si>
    <t xml:space="preserve">    Försäljning varor utom EU</t>
  </si>
  <si>
    <t>EXPORT</t>
  </si>
  <si>
    <t xml:space="preserve">    Försäljning varor inom EU</t>
  </si>
  <si>
    <t>EU</t>
  </si>
  <si>
    <t xml:space="preserve">    Projektförs. kopplade varor</t>
  </si>
  <si>
    <t xml:space="preserve">  Försäljning varor totalt</t>
  </si>
  <si>
    <t>3050..3059</t>
  </si>
  <si>
    <t xml:space="preserve">  Försäljning av råmaterial</t>
  </si>
  <si>
    <t xml:space="preserve">    Försäljning råmaterial inom SE</t>
  </si>
  <si>
    <t>RÅMAT</t>
  </si>
  <si>
    <t xml:space="preserve">    Försäljning råmaterial utom EU</t>
  </si>
  <si>
    <t xml:space="preserve">    Försäljning råmaterial inom EU</t>
  </si>
  <si>
    <t xml:space="preserve">    Projektförs. kopplat råmat.</t>
  </si>
  <si>
    <t xml:space="preserve">  Försäljning råmaterial totalt</t>
  </si>
  <si>
    <t>3060..3069</t>
  </si>
  <si>
    <t xml:space="preserve">  Försäljning resurser</t>
  </si>
  <si>
    <t xml:space="preserve">    Försäljning resurser inom SE</t>
  </si>
  <si>
    <t>TJÄNSTER</t>
  </si>
  <si>
    <t xml:space="preserve">    Försäljning resurser utom EU</t>
  </si>
  <si>
    <t xml:space="preserve">    Försäljning resurser inom EU</t>
  </si>
  <si>
    <t xml:space="preserve">    Projektförs. kopplade resurser</t>
  </si>
  <si>
    <t xml:space="preserve">  Försäljning resurser totalt</t>
  </si>
  <si>
    <t>3070..3079</t>
  </si>
  <si>
    <t xml:space="preserve">  Försäljning projekt</t>
  </si>
  <si>
    <t xml:space="preserve">    Försäljning projekt övrigt</t>
  </si>
  <si>
    <t xml:space="preserve">    Projektförsäljning</t>
  </si>
  <si>
    <t xml:space="preserve">  Försäljning projekt totalt</t>
  </si>
  <si>
    <t>3080..3089</t>
  </si>
  <si>
    <t xml:space="preserve">  Konsultation inom Sverige</t>
  </si>
  <si>
    <t xml:space="preserve">  Försäljning servicekontrakt</t>
  </si>
  <si>
    <t xml:space="preserve">  Övriga fakturerade kostnader</t>
  </si>
  <si>
    <t xml:space="preserve">  Intäktsreduktioner</t>
  </si>
  <si>
    <t xml:space="preserve">  Lämnade kassarabatter</t>
  </si>
  <si>
    <t xml:space="preserve">  Lämnade kassarabatter 2</t>
  </si>
  <si>
    <t xml:space="preserve">  Fakturaavrundning</t>
  </si>
  <si>
    <t>NO VAT</t>
  </si>
  <si>
    <t>Totala intäkter</t>
  </si>
  <si>
    <t>3002..3999</t>
  </si>
  <si>
    <t>Kostnader</t>
  </si>
  <si>
    <t xml:space="preserve">  Inköp av varor</t>
  </si>
  <si>
    <t xml:space="preserve">    Inköp av varor inom Sverige</t>
  </si>
  <si>
    <t xml:space="preserve">    Inköp varor utom EU</t>
  </si>
  <si>
    <t xml:space="preserve">    Inköp av varor EU</t>
  </si>
  <si>
    <t xml:space="preserve">    Anskaff.kost. varor (interim)</t>
  </si>
  <si>
    <t xml:space="preserve">    Anskaffningskostnad varor</t>
  </si>
  <si>
    <t xml:space="preserve">    Förändring lager varor</t>
  </si>
  <si>
    <t xml:space="preserve">    Förändring lager varor interim</t>
  </si>
  <si>
    <t xml:space="preserve">    Projektkostn. kopplade varor</t>
  </si>
  <si>
    <t xml:space="preserve">    Erhållna rabatter</t>
  </si>
  <si>
    <t xml:space="preserve">    Frakter, transporter, förs.</t>
  </si>
  <si>
    <t xml:space="preserve">    Direkt kostnad kopplade varor</t>
  </si>
  <si>
    <t xml:space="preserve">    Omkostnad kopplade varor</t>
  </si>
  <si>
    <t xml:space="preserve">    Inköpsvarians varor</t>
  </si>
  <si>
    <t xml:space="preserve">  Inköp av varor totalt</t>
  </si>
  <si>
    <t>4002..4099</t>
  </si>
  <si>
    <t xml:space="preserve">  Inköp av råmaterial</t>
  </si>
  <si>
    <t xml:space="preserve">    Inköp av råmat. inom Sverige</t>
  </si>
  <si>
    <t xml:space="preserve">    Inköp av råmaterial utom EU</t>
  </si>
  <si>
    <t xml:space="preserve">    Inköp av råmaterial inom EU</t>
  </si>
  <si>
    <t xml:space="preserve">    Anskaff.kost. råmat. (interim)</t>
  </si>
  <si>
    <t xml:space="preserve">    Anskaffningskost. råmaterial</t>
  </si>
  <si>
    <t xml:space="preserve">    Förändring lager råmaterial</t>
  </si>
  <si>
    <t xml:space="preserve">    Förändring råmat.lager (int.)</t>
  </si>
  <si>
    <t xml:space="preserve">    Projektkostn. kopplat råmat.</t>
  </si>
  <si>
    <t xml:space="preserve">    Erhållna rabatter, råmaterial</t>
  </si>
  <si>
    <t xml:space="preserve">    Frakter, transp., förs. råmat.</t>
  </si>
  <si>
    <t xml:space="preserve">    Kopplad direkt kostnad, råmaterial</t>
  </si>
  <si>
    <t xml:space="preserve">    Omkostnader kopplade, råmaterial</t>
  </si>
  <si>
    <t xml:space="preserve">  Inköp av råmaterial totalt</t>
  </si>
  <si>
    <t>4100..4199</t>
  </si>
  <si>
    <t xml:space="preserve">  Projektkostn kopplade resurser</t>
  </si>
  <si>
    <t xml:space="preserve">  Resurskostnader</t>
  </si>
  <si>
    <t xml:space="preserve">  Resurskostnader totalt</t>
  </si>
  <si>
    <t>4260..4299</t>
  </si>
  <si>
    <t xml:space="preserve">  Projektkostnader</t>
  </si>
  <si>
    <t xml:space="preserve">  Kopplad direkt kostnad, kapacitet</t>
  </si>
  <si>
    <t xml:space="preserve">  Omkostnad kopplad kapacitet</t>
  </si>
  <si>
    <t xml:space="preserve">  Inköpsvarians kapacitet</t>
  </si>
  <si>
    <t xml:space="preserve">  Materialvarians</t>
  </si>
  <si>
    <t xml:space="preserve">  Varians för material – inte i lager</t>
  </si>
  <si>
    <t xml:space="preserve">  Kapacitetsvarians</t>
  </si>
  <si>
    <t xml:space="preserve">  Legotillverkning varians</t>
  </si>
  <si>
    <t xml:space="preserve">  Kapacitetsomkostnadsvarians</t>
  </si>
  <si>
    <t xml:space="preserve">  Produktionsomkostnadsvarians</t>
  </si>
  <si>
    <t>Total kostnad</t>
  </si>
  <si>
    <t>4000..4599</t>
  </si>
  <si>
    <t>Erhållna kassarabatter</t>
  </si>
  <si>
    <t>Erhållna kassarabatter 2</t>
  </si>
  <si>
    <t>Underhållskostnad fastigheter</t>
  </si>
  <si>
    <t xml:space="preserve">  Uppvärmning</t>
  </si>
  <si>
    <t xml:space="preserve">  Skatt bränsle</t>
  </si>
  <si>
    <t xml:space="preserve">  Skatt koldioxid</t>
  </si>
  <si>
    <t xml:space="preserve">  Städning och renhållning</t>
  </si>
  <si>
    <t xml:space="preserve">  Reparations- och underhållsutgifter</t>
  </si>
  <si>
    <t>Fastighetskostnader totalt</t>
  </si>
  <si>
    <t>5100..5199</t>
  </si>
  <si>
    <t>Kostnader för transportmedel</t>
  </si>
  <si>
    <t xml:space="preserve">  Drivmedel</t>
  </si>
  <si>
    <t xml:space="preserve">  Försäkring, skatt personbilar</t>
  </si>
  <si>
    <t xml:space="preserve">  Reparation och underhåll</t>
  </si>
  <si>
    <t>Transportmedelskost. totalt</t>
  </si>
  <si>
    <t>5600..5699</t>
  </si>
  <si>
    <t>Frakter och transporter</t>
  </si>
  <si>
    <t>Resekostnader</t>
  </si>
  <si>
    <t>Reklam och PR</t>
  </si>
  <si>
    <t xml:space="preserve">  Annonsering</t>
  </si>
  <si>
    <t xml:space="preserve">  Film, radio, TV och Internet</t>
  </si>
  <si>
    <t>Reklam och PR totalt</t>
  </si>
  <si>
    <t>5900..5999</t>
  </si>
  <si>
    <t>Kostnad för allmännyttiga tjänster – Kraftverk</t>
  </si>
  <si>
    <t>Administrativa kostnader</t>
  </si>
  <si>
    <t xml:space="preserve">  Tele</t>
  </si>
  <si>
    <t xml:space="preserve">  Post</t>
  </si>
  <si>
    <t xml:space="preserve">  Kontorsmaterial</t>
  </si>
  <si>
    <t>Administrativa kost. totalt</t>
  </si>
  <si>
    <t>6200..6299</t>
  </si>
  <si>
    <t>Konstaterade kundförluster</t>
  </si>
  <si>
    <t>Befarade kundförluster</t>
  </si>
  <si>
    <t>Revisionsarvoden</t>
  </si>
  <si>
    <t>Diverse</t>
  </si>
  <si>
    <t>IT-tjänster</t>
  </si>
  <si>
    <t xml:space="preserve">  Mjukvara</t>
  </si>
  <si>
    <t xml:space="preserve">  Konsultarvoden</t>
  </si>
  <si>
    <t xml:space="preserve">  IT-tjänster övriga</t>
  </si>
  <si>
    <t>IT-tjänster totalt</t>
  </si>
  <si>
    <t>6500..6599</t>
  </si>
  <si>
    <t>Utgifter/kostnader personal</t>
  </si>
  <si>
    <t xml:space="preserve">  Löner till kollektivanställda</t>
  </si>
  <si>
    <t xml:space="preserve">  Anställda betalas</t>
  </si>
  <si>
    <t xml:space="preserve">  Personalrelaterade poster</t>
  </si>
  <si>
    <t xml:space="preserve">    Löner till tjänstemän</t>
  </si>
  <si>
    <t xml:space="preserve">  Personal totalt</t>
  </si>
  <si>
    <t>7200..7299</t>
  </si>
  <si>
    <t xml:space="preserve">  Pensionskostnader</t>
  </si>
  <si>
    <t xml:space="preserve">  Övriga sociala avgifter</t>
  </si>
  <si>
    <t>Utgift./kost. personal, totalt</t>
  </si>
  <si>
    <t>7000..7599</t>
  </si>
  <si>
    <t>Avskrivning på anl.tillg.</t>
  </si>
  <si>
    <t xml:space="preserve">  Avskrivning på byggnader</t>
  </si>
  <si>
    <t xml:space="preserve">  Avskrivning på inventarier</t>
  </si>
  <si>
    <t xml:space="preserve">  Avskr. bilar/andra transp.med.</t>
  </si>
  <si>
    <t xml:space="preserve">  Vinst/förlust avyttring</t>
  </si>
  <si>
    <t>Avskrivning anl.tillg. totalt</t>
  </si>
  <si>
    <t>7800..7899</t>
  </si>
  <si>
    <t>Övriga rörelsekostnader</t>
  </si>
  <si>
    <t>Kopplingsavrundning</t>
  </si>
  <si>
    <t>Utdelning</t>
  </si>
  <si>
    <t>Orealiserad valuta</t>
  </si>
  <si>
    <t>Oreal. valutakursförluster</t>
  </si>
  <si>
    <t>Realiserade valutakursvinster</t>
  </si>
  <si>
    <t>Real. valutakursförluster</t>
  </si>
  <si>
    <t>Räntekostnader</t>
  </si>
  <si>
    <t xml:space="preserve">  Ränteintäkter på banksaldon</t>
  </si>
  <si>
    <t xml:space="preserve">  Ränteintäkter kundfordringar</t>
  </si>
  <si>
    <t xml:space="preserve">  Dröjsmålsränta</t>
  </si>
  <si>
    <t xml:space="preserve">  Ränta revolverande kredit</t>
  </si>
  <si>
    <t xml:space="preserve">  Ränta banklån</t>
  </si>
  <si>
    <t xml:space="preserve">  Ränta hypotek</t>
  </si>
  <si>
    <t>Räntekostnader totalt</t>
  </si>
  <si>
    <t>8400..8499</t>
  </si>
  <si>
    <t>Extraordinära intäkter</t>
  </si>
  <si>
    <t>Extraordinära kostnader</t>
  </si>
  <si>
    <t>År – beskattningsbart resultat</t>
  </si>
  <si>
    <t>3000..8900</t>
  </si>
  <si>
    <t>Skatt – beskatt.bart resultat</t>
  </si>
  <si>
    <t>Årets resultat</t>
  </si>
  <si>
    <t>3000..8999</t>
  </si>
  <si>
    <t>RÖRELSENS INTÄKTER
Nettoomsättning</t>
  </si>
  <si>
    <t>Försäljning E handel</t>
  </si>
  <si>
    <t>862 696,48</t>
  </si>
  <si>
    <t>Reklamationer</t>
  </si>
  <si>
    <t>129 507,20</t>
  </si>
  <si>
    <t>Detaljhandel e-handel övrig fysisk</t>
  </si>
  <si>
    <t>Detaljhandel e-handel frakt</t>
  </si>
  <si>
    <t>Detaljhandel B2B övrig</t>
  </si>
  <si>
    <t>Färsäljning frakt</t>
  </si>
  <si>
    <t>Öresavrundning</t>
  </si>
  <si>
    <t>Summa nettoomsättning</t>
  </si>
  <si>
    <t>992 282,25</t>
  </si>
  <si>
    <t>Övriga rörelseintäkter</t>
  </si>
  <si>
    <t>Momsfria intäkter</t>
  </si>
  <si>
    <t>Återvunna kundförluster</t>
  </si>
  <si>
    <t>1 301,98</t>
  </si>
  <si>
    <t>Valutakursvinster rörelseskulder</t>
  </si>
  <si>
    <t>Summa övriga rörelseintäkter</t>
  </si>
  <si>
    <t>SUMMA RÖRELSENS INTÄKTER</t>
  </si>
  <si>
    <t>993 584,23</t>
  </si>
  <si>
    <t>RÖRELSENS KOSTNADER</t>
  </si>
  <si>
    <t>Råvaror och förnödenheter</t>
  </si>
  <si>
    <t>Inköp varor</t>
  </si>
  <si>
    <t>Kostnad sålda varor</t>
  </si>
  <si>
    <t>-409 203,00</t>
  </si>
  <si>
    <t>Kostnad sålda varor droppshipping</t>
  </si>
  <si>
    <t>-23 231,43</t>
  </si>
  <si>
    <t>Fraktkostnader inkommade varor</t>
  </si>
  <si>
    <t>-7 399,70</t>
  </si>
  <si>
    <t>Inköp tjänster EU</t>
  </si>
  <si>
    <t>-32 393,84</t>
  </si>
  <si>
    <t>Kostnader produktionskostnader varuhus, emballage</t>
  </si>
  <si>
    <t>-37 385,80</t>
  </si>
  <si>
    <t>Inköp EU</t>
  </si>
  <si>
    <t>267 703,99</t>
  </si>
  <si>
    <t>Motkontering inköp EU</t>
  </si>
  <si>
    <t>-261 904,15</t>
  </si>
  <si>
    <t>Summa råvaror och förnödenheter</t>
  </si>
  <si>
    <t>-503 813,93</t>
  </si>
  <si>
    <t>BRUTTOVINST</t>
  </si>
  <si>
    <t>489 770,30</t>
  </si>
  <si>
    <t>Övriga externa kostnader</t>
  </si>
  <si>
    <t>Hyreskostnader</t>
  </si>
  <si>
    <t>Hyreskostnader - el</t>
  </si>
  <si>
    <t>-106 920,80</t>
  </si>
  <si>
    <t>Hyreskostander - städ</t>
  </si>
  <si>
    <t>-3 760,00</t>
  </si>
  <si>
    <t>Hyreskostnader - sophämtning</t>
  </si>
  <si>
    <t>-1 148,80</t>
  </si>
  <si>
    <t>Hyreskostnader - övrigt</t>
  </si>
  <si>
    <t>-21 245,46</t>
  </si>
  <si>
    <t>Licenser programvara - backoffice (server)</t>
  </si>
  <si>
    <t>Licenser programvara - digital verksamhet</t>
  </si>
  <si>
    <t>-61 241,52</t>
  </si>
  <si>
    <t>Förbrukningsmaterial</t>
  </si>
  <si>
    <t>-12 298,68</t>
  </si>
  <si>
    <t>Arbetskläder &amp; Reklam material</t>
  </si>
  <si>
    <t>Personbilar drivmedel</t>
  </si>
  <si>
    <t>Personbilar försäkring &amp; skatt</t>
  </si>
  <si>
    <t>-2 587,00</t>
  </si>
  <si>
    <t>Personbilar övrigt</t>
  </si>
  <si>
    <t>Distribution &amp; Transportkostnader</t>
  </si>
  <si>
    <t>-169 070,04</t>
  </si>
  <si>
    <t>-1 080,00</t>
  </si>
  <si>
    <t>Markandsföring och PR</t>
  </si>
  <si>
    <t>-172 552,23</t>
  </si>
  <si>
    <t>Marknadsföring och PR, EU</t>
  </si>
  <si>
    <t>-32 036,14</t>
  </si>
  <si>
    <t>Reklam web</t>
  </si>
  <si>
    <t>-22 000,00</t>
  </si>
  <si>
    <t>Telekom - mobiltelefon tjänster</t>
  </si>
  <si>
    <t>-1 364,85</t>
  </si>
  <si>
    <t>IT verksamhet &amp; hosting - backoffice</t>
  </si>
  <si>
    <t>IT verksamhet &amp; hosting - underhåll tjänster</t>
  </si>
  <si>
    <t>-65 134,70</t>
  </si>
  <si>
    <t>Företagsförsäkringar</t>
  </si>
  <si>
    <t>-2 659,73</t>
  </si>
  <si>
    <t>Revisionskostnader</t>
  </si>
  <si>
    <t>Redovisningstjänster</t>
  </si>
  <si>
    <t>-22 399,20</t>
  </si>
  <si>
    <t>Bankkostnader</t>
  </si>
  <si>
    <t>Konsultkostnader</t>
  </si>
  <si>
    <t>Tillsynsavgifter</t>
  </si>
  <si>
    <t>-3 000,00</t>
  </si>
  <si>
    <t>Övriga externa kostnader avdragsgill</t>
  </si>
  <si>
    <t>Övriga externa kostnader, ej avdragsgill</t>
  </si>
  <si>
    <t>Summa övriga externa kostnader</t>
  </si>
  <si>
    <t>-733 806,26</t>
  </si>
  <si>
    <t>Personalkostnader</t>
  </si>
  <si>
    <t>Löner kollektiv</t>
  </si>
  <si>
    <t>-114 693,90</t>
  </si>
  <si>
    <t>Löner till kollektivanställda</t>
  </si>
  <si>
    <t>-55 298,28</t>
  </si>
  <si>
    <t>Sjuklön kollektivanställd (HR)</t>
  </si>
  <si>
    <t>-6 548,56</t>
  </si>
  <si>
    <t>Semesterlöner till kollektivanställda</t>
  </si>
  <si>
    <t>-5 881,51</t>
  </si>
  <si>
    <t>Förändring semesterlöneskuld kollektiv (HR)</t>
  </si>
  <si>
    <t>-16 420,26</t>
  </si>
  <si>
    <t>Löner till tjänstemän</t>
  </si>
  <si>
    <t>-100 221,76</t>
  </si>
  <si>
    <t>Sjuklöner till tjänstemän</t>
  </si>
  <si>
    <t>Semesterlöner till tjänstemän</t>
  </si>
  <si>
    <t>Förändring av semesterlöneskuld</t>
  </si>
  <si>
    <t>-13 028,82</t>
  </si>
  <si>
    <t>Skattefria traktamenten, Sverige</t>
  </si>
  <si>
    <t>Skattefria bilersättningar</t>
  </si>
  <si>
    <t>Övriga kostnadsersättningar och förmåner</t>
  </si>
  <si>
    <t>Förmånsvärden</t>
  </si>
  <si>
    <t>Motkontering personalförmåner</t>
  </si>
  <si>
    <t>Pensionspremier koll försäkring</t>
  </si>
  <si>
    <t>Pensionspremier SAF-LO koll</t>
  </si>
  <si>
    <t>Övriga pensionskostnader</t>
  </si>
  <si>
    <t>-18 428,00</t>
  </si>
  <si>
    <t>Sociala avgifter tjänstemän</t>
  </si>
  <si>
    <t>-88 805,00</t>
  </si>
  <si>
    <t>Arbetsgivaravgifter för semester- och löneskuld</t>
  </si>
  <si>
    <t>-9 252,90</t>
  </si>
  <si>
    <t>Källskatt pensionskostnader</t>
  </si>
  <si>
    <t>Övriga personalkostnader</t>
  </si>
  <si>
    <t>Summa personalkostnader</t>
  </si>
  <si>
    <t>-428 578,99</t>
  </si>
  <si>
    <t>Avskrivningar</t>
  </si>
  <si>
    <t>Avskrivningar inventarier och verktyg</t>
  </si>
  <si>
    <t>Avskrivningar bilar &amp; övriga fordon</t>
  </si>
  <si>
    <t>-5 345,00</t>
  </si>
  <si>
    <t>avskriving hemsidor</t>
  </si>
  <si>
    <t>-22 623,00</t>
  </si>
  <si>
    <t>Avskrivningar hyrd fastighet</t>
  </si>
  <si>
    <t>Summa avskrivningar</t>
  </si>
  <si>
    <t>-27 968,00</t>
  </si>
  <si>
    <t>Valutakursförluster övriga skulder</t>
  </si>
  <si>
    <t>Summa övriga rörelsekostnader</t>
  </si>
  <si>
    <t>RÖRELSERESULTAT</t>
  </si>
  <si>
    <t>-701 140,34</t>
  </si>
  <si>
    <t>Finansiella poster</t>
  </si>
  <si>
    <t>Ränteintäkter skattekonto</t>
  </si>
  <si>
    <t>Räntekostnader förseningar</t>
  </si>
  <si>
    <t>Räntekostnader för skatter och avgifter</t>
  </si>
  <si>
    <t>-1 028,00</t>
  </si>
  <si>
    <t>Summa finansiella poster</t>
  </si>
  <si>
    <t>RESULTAT EFTER FINANSIELLA POSTER</t>
  </si>
  <si>
    <t>-702 168,34</t>
  </si>
  <si>
    <t>SUMMA RÖRELSENS KOSTNADER</t>
  </si>
  <si>
    <t>-1 695 752,57</t>
  </si>
  <si>
    <t>BERÄKNAT RESULTAT</t>
  </si>
  <si>
    <t>TILLGÅNGAR
Anläggningstillgångar
Immateriella anläggningstillgångar</t>
  </si>
  <si>
    <t>1040     Utveckling hemsida, integration nemo</t>
  </si>
  <si>
    <t>1 357 388,00</t>
  </si>
  <si>
    <t>1049     avskrivning hemsidor</t>
  </si>
  <si>
    <t>-271 477,00</t>
  </si>
  <si>
    <t>Summa immateriella anläggningstillgångar</t>
  </si>
  <si>
    <t>1 085 911,00</t>
  </si>
  <si>
    <t>Materiella anläggningstillgångar</t>
  </si>
  <si>
    <t>Kostnader hyrd fastighet</t>
  </si>
  <si>
    <t>962 394,60</t>
  </si>
  <si>
    <t>Ack avskrivningar hyrd fastighet</t>
  </si>
  <si>
    <t>-962 394,60</t>
  </si>
  <si>
    <t>Anläggningar och maskiner</t>
  </si>
  <si>
    <t>131 999,00</t>
  </si>
  <si>
    <t>Ack avskrivningar verktyg och
maskiner</t>
  </si>
  <si>
    <t>-120 899,00</t>
  </si>
  <si>
    <t>Verktyg och installationer</t>
  </si>
  <si>
    <t>648 223,00</t>
  </si>
  <si>
    <t>Ack avskrivningar verktyg och
installationer
Fordon för transport</t>
  </si>
  <si>
    <t>-642 223,00
319 484,00</t>
  </si>
  <si>
    <t>Ack avskrivningar fordon för transport</t>
  </si>
  <si>
    <t>-219 484,00</t>
  </si>
  <si>
    <t>Summa materiella anläggningstillgångar</t>
  </si>
  <si>
    <t>117 100,00</t>
  </si>
  <si>
    <t>Finansiella anläggningstillgångar</t>
  </si>
  <si>
    <t>1370     Uppskjuten skattefordran</t>
  </si>
  <si>
    <t>128 335,00</t>
  </si>
  <si>
    <t>1383     Deposit</t>
  </si>
  <si>
    <t>15 009,00</t>
  </si>
  <si>
    <t>Summa finansiella anläggningstillgångar</t>
  </si>
  <si>
    <t>143 344,00</t>
  </si>
  <si>
    <t>Summa anläggningstillgångar</t>
  </si>
  <si>
    <t>1 346 355,00</t>
  </si>
  <si>
    <t>Omsättningstillgångar
Varulager m.m.</t>
  </si>
  <si>
    <t>Råvarulager</t>
  </si>
  <si>
    <t>Emballage</t>
  </si>
  <si>
    <t>775 282,23</t>
  </si>
  <si>
    <t>Lagerartiklar e-handel</t>
  </si>
  <si>
    <t>6 346 383,00</t>
  </si>
  <si>
    <t>Lagerartiklar butik</t>
  </si>
  <si>
    <t>926 938,00</t>
  </si>
  <si>
    <t>Lagerartiklar karantän</t>
  </si>
  <si>
    <t>15 951,00</t>
  </si>
  <si>
    <t>Förskott Leverantör</t>
  </si>
  <si>
    <t>Summa varulager m.m.</t>
  </si>
  <si>
    <t>8 064 554,23</t>
  </si>
  <si>
    <t>Kortfristiga fordringar</t>
  </si>
  <si>
    <t>Kundfordringar</t>
  </si>
  <si>
    <t>119 865,00</t>
  </si>
  <si>
    <t>Kundfordringar koncern</t>
  </si>
  <si>
    <t>6 190,00</t>
  </si>
  <si>
    <t>Fordringar klarna</t>
  </si>
  <si>
    <t>102 627,94</t>
  </si>
  <si>
    <t>Ej matchad försäljning</t>
  </si>
  <si>
    <t>28 873,32</t>
  </si>
  <si>
    <t>Fordringar Bambora/worldline</t>
  </si>
  <si>
    <t>9 372,02</t>
  </si>
  <si>
    <t>Skattekonto</t>
  </si>
  <si>
    <t>1 942,00</t>
  </si>
  <si>
    <t>Moms att återfå</t>
  </si>
  <si>
    <t>Övriga fordringar</t>
  </si>
  <si>
    <t>-115 472,19</t>
  </si>
  <si>
    <t>Övriga upplupna intäkter</t>
  </si>
  <si>
    <t>194 340,16</t>
  </si>
  <si>
    <t>Summa kortfristiga fordringar</t>
  </si>
  <si>
    <t>347 738,25</t>
  </si>
  <si>
    <t>Kassa och bank</t>
  </si>
  <si>
    <t>Kassa &amp; Bank</t>
  </si>
  <si>
    <t>Externa bankkonto</t>
  </si>
  <si>
    <t>426 974,17</t>
  </si>
  <si>
    <t>Bankkonto kopplat till företagskort</t>
  </si>
  <si>
    <t>95 279,06</t>
  </si>
  <si>
    <t>Swish</t>
  </si>
  <si>
    <t>OBS konto</t>
  </si>
  <si>
    <t>Summa kassa och bank</t>
  </si>
  <si>
    <t>522 630,23</t>
  </si>
  <si>
    <t>Summa omsättningstillgångar</t>
  </si>
  <si>
    <t>8 934 922,71</t>
  </si>
  <si>
    <t>SUMMA TILLGÅNGAR</t>
  </si>
  <si>
    <t>10 281 277,71</t>
  </si>
  <si>
    <t>EGET KAPITAL, AVSÄTTNINGAR OCH SKULDER
Eget kapital</t>
  </si>
  <si>
    <t>Aktiekapital</t>
  </si>
  <si>
    <t>-100 000,00</t>
  </si>
  <si>
    <t>Balanserat resultat</t>
  </si>
  <si>
    <t>335 403,06</t>
  </si>
  <si>
    <t>Ovilkorat aktieägartillskot</t>
  </si>
  <si>
    <t>-9 604 000,00</t>
  </si>
  <si>
    <t>8 768 891,75</t>
  </si>
  <si>
    <t>Summa eget kapital</t>
  </si>
  <si>
    <t>-599 705,19</t>
  </si>
  <si>
    <t>Kortfristiga skulder</t>
  </si>
  <si>
    <t>Leverantörsskulder</t>
  </si>
  <si>
    <t>-3 740 211,54</t>
  </si>
  <si>
    <t>Leverantörsskulder valutajustering</t>
  </si>
  <si>
    <t>-2 797,68</t>
  </si>
  <si>
    <t>Leverantörsskulder prel</t>
  </si>
  <si>
    <t>-8 130 929,98</t>
  </si>
  <si>
    <t>Skatteskulder</t>
  </si>
  <si>
    <t>93 012,00</t>
  </si>
  <si>
    <t>Beräknad särskild löneskatt på
pens.kostnader</t>
  </si>
  <si>
    <t>-92 392,59</t>
  </si>
  <si>
    <t>Utgående moms SE</t>
  </si>
  <si>
    <t>Eu moms inköp tjänster</t>
  </si>
  <si>
    <t>Utgående moms inköp av varor från
annat EU-land, 25 %</t>
  </si>
  <si>
    <t>Ingående moms SE</t>
  </si>
  <si>
    <t>Beräknad ingående moms på förvärv
från EU</t>
  </si>
  <si>
    <t>Moms att betala</t>
  </si>
  <si>
    <t>-539 835,54</t>
  </si>
  <si>
    <t>Personalskatt</t>
  </si>
  <si>
    <t>-149 752,00</t>
  </si>
  <si>
    <t>Sociala avgifter</t>
  </si>
  <si>
    <t>-221 416,00</t>
  </si>
  <si>
    <t>Kortfristiga skulder till anställda</t>
  </si>
  <si>
    <t>Avräkning Fausol Holding ApS</t>
  </si>
  <si>
    <t>8 604 000,00</t>
  </si>
  <si>
    <t>Övriga koncernskulder</t>
  </si>
  <si>
    <t>-4 852 317,98</t>
  </si>
  <si>
    <t>Upplupen övertid &amp;
semesterlöneskuld</t>
  </si>
  <si>
    <t>-3 787,67</t>
  </si>
  <si>
    <t>Upplupen semesterlöneskuld</t>
  </si>
  <si>
    <t>-442 723,18</t>
  </si>
  <si>
    <t>Semesterlöneskuld soc avgifter</t>
  </si>
  <si>
    <t>-138 326,76</t>
  </si>
  <si>
    <t>Upplupna sociala avgifter</t>
  </si>
  <si>
    <t>Upplupna kostnader</t>
  </si>
  <si>
    <t>-64 093,60</t>
  </si>
  <si>
    <t>Summa kortfristiga skulder</t>
  </si>
  <si>
    <t>-9 681 572,52</t>
  </si>
  <si>
    <t>SUMMA EGET KAPITAL, AVSÄTTNINGAR OCH SKULDER</t>
  </si>
  <si>
    <t>-10 281 277,71</t>
  </si>
  <si>
    <t>BERÄKNAT RESULTAT                                                                    0,00                          0,00        -3 296 406,87        -3 296 406,87</t>
  </si>
  <si>
    <t>Fordon för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</si>
</sst>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4"/>
      <color rgb="FF000000"/>
      <name val="Segoe UI Semibold"/>
      <family val="2"/>
    </font>
    <font>
      <sz val="2"/>
      <color rgb="FF000000"/>
      <name val="Segoe UI"/>
      <family val="2"/>
    </font>
    <font>
      <sz val="8"/>
      <color rgb="FF000000"/>
      <name val="Arial"/>
      <family val="2"/>
    </font>
    <font>
      <sz val="8"/>
      <color rgb="FF000000"/>
      <name val="Segoe UI"/>
      <family val="2"/>
    </font>
    <font>
      <b/>
      <sz val="8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EBEBEB"/>
        <bgColor rgb="FFEBEBE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EBEBEB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1" fillId="0" borderId="0" xfId="0" applyFont="1"/>
    <xf numFmtId="0" fontId="5" fillId="0" borderId="0" xfId="0" applyFont="1" applyAlignment="1">
      <alignment vertical="center" wrapText="1" readingOrder="1"/>
    </xf>
    <xf numFmtId="0" fontId="6" fillId="0" borderId="0" xfId="0" applyFont="1" applyAlignment="1">
      <alignment horizontal="left" wrapText="1" readingOrder="1"/>
    </xf>
    <xf numFmtId="0" fontId="6" fillId="0" borderId="0" xfId="0" applyFont="1" applyAlignment="1">
      <alignment wrapText="1" readingOrder="1"/>
    </xf>
    <xf numFmtId="0" fontId="6" fillId="0" borderId="1" xfId="0" applyFont="1" applyBorder="1" applyAlignment="1">
      <alignment wrapText="1" readingOrder="1"/>
    </xf>
    <xf numFmtId="0" fontId="6" fillId="2" borderId="0" xfId="0" applyFont="1" applyFill="1" applyAlignment="1">
      <alignment vertical="center" wrapText="1" readingOrder="1"/>
    </xf>
    <xf numFmtId="0" fontId="6" fillId="0" borderId="0" xfId="0" applyFont="1" applyAlignment="1">
      <alignment vertical="center" wrapText="1" readingOrder="1"/>
    </xf>
    <xf numFmtId="0" fontId="5" fillId="2" borderId="0" xfId="0" applyFont="1" applyFill="1" applyAlignment="1">
      <alignment vertical="center" wrapText="1" readingOrder="1"/>
    </xf>
    <xf numFmtId="0" fontId="6" fillId="3" borderId="0" xfId="0" applyFont="1" applyFill="1" applyAlignment="1">
      <alignment vertical="center" wrapText="1" readingOrder="1"/>
    </xf>
    <xf numFmtId="0" fontId="5" fillId="3" borderId="0" xfId="0" applyFont="1" applyFill="1" applyAlignment="1">
      <alignment vertical="center" wrapText="1" readingOrder="1"/>
    </xf>
    <xf numFmtId="0" fontId="6" fillId="2" borderId="0" xfId="0" applyFont="1" applyFill="1" applyAlignment="1">
      <alignment horizontal="left" vertical="center" wrapText="1" readingOrder="1"/>
    </xf>
    <xf numFmtId="0" fontId="6" fillId="3" borderId="0" xfId="0" applyFont="1" applyFill="1" applyAlignment="1">
      <alignment horizontal="left" vertical="center" wrapText="1" readingOrder="1"/>
    </xf>
    <xf numFmtId="0" fontId="5" fillId="3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6" fillId="4" borderId="0" xfId="0" applyFont="1" applyFill="1" applyAlignment="1">
      <alignment horizontal="left" vertical="center" wrapText="1" readingOrder="1"/>
    </xf>
    <xf numFmtId="0" fontId="6" fillId="4" borderId="0" xfId="0" applyFont="1" applyFill="1" applyAlignment="1">
      <alignment vertical="center" wrapText="1" readingOrder="1"/>
    </xf>
    <xf numFmtId="0" fontId="6" fillId="5" borderId="0" xfId="0" applyFont="1" applyFill="1" applyAlignment="1">
      <alignment vertical="center" wrapText="1" readingOrder="1"/>
    </xf>
    <xf numFmtId="0" fontId="1" fillId="5" borderId="0" xfId="0" applyFont="1" applyFill="1"/>
    <xf numFmtId="0" fontId="5" fillId="5" borderId="0" xfId="0" applyFont="1" applyFill="1" applyAlignment="1">
      <alignment vertical="center" wrapText="1" readingOrder="1"/>
    </xf>
    <xf numFmtId="0" fontId="5" fillId="4" borderId="0" xfId="0" applyFont="1" applyFill="1" applyAlignment="1">
      <alignment vertical="center" wrapText="1" readingOrder="1"/>
    </xf>
    <xf numFmtId="0" fontId="6" fillId="6" borderId="0" xfId="0" applyFont="1" applyFill="1" applyAlignment="1">
      <alignment horizontal="left" vertical="center" wrapText="1" readingOrder="1"/>
    </xf>
    <xf numFmtId="0" fontId="6" fillId="6" borderId="0" xfId="0" applyFont="1" applyFill="1" applyAlignment="1">
      <alignment vertical="center" wrapText="1" readingOrder="1"/>
    </xf>
    <xf numFmtId="0" fontId="5" fillId="6" borderId="0" xfId="0" applyFont="1" applyFill="1" applyAlignment="1">
      <alignment vertical="center" wrapText="1" readingOrder="1"/>
    </xf>
    <xf numFmtId="0" fontId="5" fillId="0" borderId="0" xfId="0" applyFont="1" applyAlignment="1">
      <alignment vertical="top" wrapText="1" readingOrder="1"/>
    </xf>
    <xf numFmtId="0" fontId="1" fillId="0" borderId="0" xfId="0" applyFont="1"/>
    <xf numFmtId="0" fontId="6" fillId="0" borderId="0" xfId="0" applyFont="1" applyAlignment="1">
      <alignment wrapText="1" readingOrder="1"/>
    </xf>
    <xf numFmtId="0" fontId="6" fillId="0" borderId="1" xfId="0" applyFont="1" applyBorder="1" applyAlignment="1">
      <alignment wrapText="1" readingOrder="1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center" wrapText="1" readingOrder="1"/>
    </xf>
    <xf numFmtId="0" fontId="5" fillId="0" borderId="0" xfId="0" applyFont="1" applyAlignment="1">
      <alignment horizontal="right" vertical="center" wrapText="1" readingOrder="1"/>
    </xf>
    <xf numFmtId="0" fontId="5" fillId="0" borderId="0" xfId="0" applyFont="1" applyAlignment="1">
      <alignment vertical="center" wrapText="1" readingOrder="1"/>
    </xf>
    <xf numFmtId="0" fontId="6" fillId="2" borderId="0" xfId="0" applyFont="1" applyFill="1" applyAlignment="1">
      <alignment vertical="center" wrapText="1" readingOrder="1"/>
    </xf>
    <xf numFmtId="0" fontId="5" fillId="2" borderId="0" xfId="0" applyFont="1" applyFill="1" applyAlignment="1">
      <alignment vertical="center" wrapText="1" readingOrder="1"/>
    </xf>
    <xf numFmtId="0" fontId="6" fillId="3" borderId="0" xfId="0" applyFont="1" applyFill="1" applyAlignment="1">
      <alignment vertical="center" wrapText="1" readingOrder="1"/>
    </xf>
    <xf numFmtId="0" fontId="5" fillId="3" borderId="0" xfId="0" applyFont="1" applyFill="1" applyAlignment="1">
      <alignment vertical="center" wrapText="1" readingOrder="1"/>
    </xf>
    <xf numFmtId="0" fontId="6" fillId="4" borderId="0" xfId="0" applyFont="1" applyFill="1" applyAlignment="1">
      <alignment vertical="center" wrapText="1" readingOrder="1"/>
    </xf>
    <xf numFmtId="0" fontId="1" fillId="5" borderId="0" xfId="0" applyFont="1" applyFill="1"/>
    <xf numFmtId="0" fontId="5" fillId="4" borderId="0" xfId="0" applyFont="1" applyFill="1" applyAlignment="1">
      <alignment vertical="center" wrapText="1" readingOrder="1"/>
    </xf>
    <xf numFmtId="0" fontId="6" fillId="6" borderId="0" xfId="0" applyFont="1" applyFill="1" applyAlignment="1">
      <alignment vertical="center" wrapText="1" readingOrder="1"/>
    </xf>
    <xf numFmtId="0" fontId="5" fillId="6" borderId="0" xfId="0" applyFont="1" applyFill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BEBEB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0"/>
  <sheetViews>
    <sheetView showGridLines="0" tabSelected="1" workbookViewId="0">
      <pane ySplit="12" topLeftCell="A13" activePane="bottomLeft" state="frozen"/>
      <selection pane="bottomLeft" activeCell="AC34" sqref="AC34"/>
    </sheetView>
  </sheetViews>
  <sheetFormatPr defaultRowHeight="15" x14ac:dyDescent="0.25"/>
  <cols>
    <col min="1" max="1" width="8.7109375" customWidth="1"/>
    <col min="2" max="2" width="28.42578125" customWidth="1"/>
    <col min="3" max="3" width="1" customWidth="1"/>
    <col min="4" max="4" width="13.140625" customWidth="1"/>
    <col min="5" max="5" width="1" customWidth="1"/>
    <col min="6" max="6" width="4.140625" customWidth="1"/>
    <col min="7" max="7" width="8.28515625" customWidth="1"/>
    <col min="8" max="8" width="1" customWidth="1"/>
    <col min="9" max="9" width="8.28515625" customWidth="1"/>
    <col min="10" max="10" width="1" customWidth="1"/>
    <col min="11" max="11" width="20.140625" customWidth="1"/>
    <col min="12" max="12" width="1" customWidth="1"/>
    <col min="13" max="13" width="9.140625" customWidth="1"/>
    <col min="14" max="14" width="1" customWidth="1"/>
    <col min="15" max="15" width="6.140625" customWidth="1"/>
    <col min="16" max="16" width="5.7109375" customWidth="1"/>
    <col min="17" max="17" width="1" customWidth="1"/>
    <col min="18" max="18" width="11.7109375" customWidth="1"/>
    <col min="19" max="19" width="1" customWidth="1"/>
    <col min="20" max="20" width="23" customWidth="1"/>
    <col min="21" max="21" width="0.140625" customWidth="1"/>
    <col min="22" max="23" width="0" hidden="1" customWidth="1"/>
  </cols>
  <sheetData>
    <row r="1" spans="1:21" ht="2.1" customHeight="1" x14ac:dyDescent="0.25">
      <c r="A1" s="28" t="s">
        <v>0</v>
      </c>
      <c r="B1" s="24"/>
      <c r="C1" s="24"/>
      <c r="D1" s="24"/>
      <c r="E1" s="24"/>
      <c r="F1" s="24"/>
      <c r="P1" s="29" t="s">
        <v>1</v>
      </c>
      <c r="Q1" s="24"/>
      <c r="R1" s="24"/>
      <c r="S1" s="24"/>
      <c r="T1" s="24"/>
    </row>
    <row r="2" spans="1:21" ht="0.75" customHeight="1" x14ac:dyDescent="0.25">
      <c r="A2" s="24"/>
      <c r="B2" s="24"/>
      <c r="C2" s="24"/>
      <c r="D2" s="24"/>
      <c r="E2" s="24"/>
      <c r="F2" s="24"/>
    </row>
    <row r="3" spans="1:21" ht="12" customHeight="1" x14ac:dyDescent="0.25">
      <c r="A3" s="24"/>
      <c r="B3" s="24"/>
      <c r="C3" s="24"/>
      <c r="D3" s="24"/>
      <c r="E3" s="24"/>
      <c r="F3" s="24"/>
      <c r="P3" s="30" t="s">
        <v>2</v>
      </c>
      <c r="Q3" s="24"/>
      <c r="R3" s="24"/>
      <c r="S3" s="24"/>
      <c r="T3" s="24"/>
    </row>
    <row r="4" spans="1:21" ht="5.25" customHeight="1" x14ac:dyDescent="0.25">
      <c r="A4" s="24"/>
      <c r="B4" s="24"/>
      <c r="C4" s="24"/>
      <c r="D4" s="24"/>
      <c r="E4" s="24"/>
      <c r="F4" s="24"/>
      <c r="P4" s="31" t="s">
        <v>3</v>
      </c>
      <c r="Q4" s="24"/>
      <c r="R4" s="24"/>
      <c r="S4" s="24"/>
      <c r="T4" s="24"/>
    </row>
    <row r="5" spans="1:21" x14ac:dyDescent="0.25">
      <c r="A5" s="23" t="s">
        <v>1</v>
      </c>
      <c r="B5" s="24"/>
      <c r="C5" s="24"/>
      <c r="D5" s="24"/>
      <c r="E5" s="24"/>
      <c r="F5" s="24"/>
      <c r="P5" s="24"/>
      <c r="Q5" s="24"/>
      <c r="R5" s="24"/>
      <c r="S5" s="24"/>
      <c r="T5" s="24"/>
    </row>
    <row r="6" spans="1:21" x14ac:dyDescent="0.25">
      <c r="A6" s="24"/>
      <c r="B6" s="24"/>
      <c r="C6" s="24"/>
      <c r="D6" s="24"/>
      <c r="E6" s="24"/>
      <c r="F6" s="24"/>
    </row>
    <row r="7" spans="1:21" x14ac:dyDescent="0.25">
      <c r="A7" s="24"/>
      <c r="B7" s="24"/>
      <c r="C7" s="24"/>
      <c r="D7" s="24"/>
      <c r="E7" s="24"/>
      <c r="F7" s="24"/>
      <c r="P7" s="31" t="s">
        <v>4</v>
      </c>
      <c r="Q7" s="24"/>
      <c r="R7" s="24"/>
      <c r="S7" s="24"/>
      <c r="T7" s="24"/>
    </row>
    <row r="8" spans="1:21" x14ac:dyDescent="0.25">
      <c r="A8" s="32" t="s">
        <v>5</v>
      </c>
      <c r="B8" s="24"/>
      <c r="C8" s="24"/>
      <c r="D8" s="24"/>
      <c r="E8" s="24"/>
      <c r="F8" s="24"/>
      <c r="P8" s="24"/>
      <c r="Q8" s="24"/>
      <c r="R8" s="24"/>
      <c r="S8" s="24"/>
      <c r="T8" s="24"/>
    </row>
    <row r="9" spans="1:21" x14ac:dyDescent="0.25">
      <c r="A9" s="24"/>
      <c r="B9" s="24"/>
      <c r="C9" s="24"/>
      <c r="D9" s="24"/>
      <c r="E9" s="24"/>
      <c r="F9" s="24"/>
      <c r="P9" s="24"/>
      <c r="Q9" s="24"/>
      <c r="R9" s="24"/>
      <c r="S9" s="24"/>
      <c r="T9" s="24"/>
    </row>
    <row r="10" spans="1:21" ht="3.2" customHeight="1" x14ac:dyDescent="0.25">
      <c r="A10" s="24"/>
      <c r="B10" s="24"/>
      <c r="C10" s="24"/>
      <c r="D10" s="24"/>
      <c r="E10" s="24"/>
      <c r="F10" s="24"/>
    </row>
    <row r="11" spans="1:21" ht="0" hidden="1" customHeight="1" x14ac:dyDescent="0.25"/>
    <row r="12" spans="1:21" ht="24.95" customHeight="1" x14ac:dyDescent="0.25">
      <c r="A12" s="23" t="s">
        <v>1</v>
      </c>
      <c r="B12" s="24"/>
      <c r="C12" s="24"/>
      <c r="D12" s="24"/>
      <c r="E12" s="24"/>
      <c r="F12" s="24"/>
    </row>
    <row r="13" spans="1:21" ht="22.5" x14ac:dyDescent="0.25">
      <c r="A13" s="2" t="s">
        <v>6</v>
      </c>
      <c r="B13" s="3" t="s">
        <v>7</v>
      </c>
      <c r="C13" s="3" t="s">
        <v>1</v>
      </c>
      <c r="D13" s="3" t="s">
        <v>8</v>
      </c>
      <c r="E13" s="3" t="s">
        <v>1</v>
      </c>
      <c r="F13" s="25" t="s">
        <v>9</v>
      </c>
      <c r="G13" s="24"/>
      <c r="H13" s="3" t="s">
        <v>1</v>
      </c>
      <c r="I13" s="3" t="s">
        <v>10</v>
      </c>
      <c r="J13" s="3" t="s">
        <v>1</v>
      </c>
      <c r="K13" s="3" t="s">
        <v>11</v>
      </c>
      <c r="L13" s="3" t="s">
        <v>1</v>
      </c>
      <c r="M13" s="3" t="s">
        <v>12</v>
      </c>
      <c r="N13" s="3" t="s">
        <v>1</v>
      </c>
      <c r="O13" s="25" t="s">
        <v>13</v>
      </c>
      <c r="P13" s="24"/>
      <c r="Q13" s="3" t="s">
        <v>1</v>
      </c>
      <c r="R13" s="3" t="s">
        <v>14</v>
      </c>
      <c r="S13" s="3" t="s">
        <v>1</v>
      </c>
      <c r="T13" s="25" t="s">
        <v>15</v>
      </c>
      <c r="U13" s="24"/>
    </row>
    <row r="14" spans="1:21" x14ac:dyDescent="0.25">
      <c r="A14" s="4" t="s">
        <v>1</v>
      </c>
      <c r="B14" s="4" t="s">
        <v>1</v>
      </c>
      <c r="C14" s="4" t="s">
        <v>1</v>
      </c>
      <c r="D14" s="4" t="s">
        <v>1</v>
      </c>
      <c r="E14" s="4" t="s">
        <v>1</v>
      </c>
      <c r="F14" s="26" t="s">
        <v>1</v>
      </c>
      <c r="G14" s="27"/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26" t="s">
        <v>1</v>
      </c>
      <c r="P14" s="27"/>
      <c r="Q14" s="4" t="s">
        <v>1</v>
      </c>
      <c r="R14" s="4" t="s">
        <v>1</v>
      </c>
      <c r="S14" s="4" t="s">
        <v>1</v>
      </c>
      <c r="T14" s="26" t="s">
        <v>1</v>
      </c>
      <c r="U14" s="27"/>
    </row>
    <row r="15" spans="1:21" x14ac:dyDescent="0.25">
      <c r="A15" s="3" t="s">
        <v>1</v>
      </c>
      <c r="B15" s="3" t="s">
        <v>1</v>
      </c>
      <c r="C15" s="3" t="s">
        <v>1</v>
      </c>
      <c r="D15" s="3" t="s">
        <v>1</v>
      </c>
      <c r="E15" s="3" t="s">
        <v>1</v>
      </c>
      <c r="F15" s="25" t="s">
        <v>1</v>
      </c>
      <c r="G15" s="24"/>
      <c r="H15" s="3" t="s">
        <v>1</v>
      </c>
      <c r="I15" s="3" t="s">
        <v>1</v>
      </c>
      <c r="J15" s="3" t="s">
        <v>1</v>
      </c>
      <c r="K15" s="3" t="s">
        <v>1</v>
      </c>
      <c r="L15" s="3" t="s">
        <v>1</v>
      </c>
      <c r="M15" s="3" t="s">
        <v>1</v>
      </c>
      <c r="N15" s="3" t="s">
        <v>1</v>
      </c>
      <c r="O15" s="25" t="s">
        <v>1</v>
      </c>
      <c r="P15" s="24"/>
      <c r="Q15" s="3" t="s">
        <v>1</v>
      </c>
      <c r="R15" s="3" t="s">
        <v>1</v>
      </c>
      <c r="S15" s="3" t="s">
        <v>1</v>
      </c>
      <c r="T15" s="25" t="s">
        <v>1</v>
      </c>
      <c r="U15" s="24"/>
    </row>
    <row r="16" spans="1:21" x14ac:dyDescent="0.25">
      <c r="A16" s="3" t="s">
        <v>1</v>
      </c>
      <c r="B16" s="3" t="s">
        <v>1</v>
      </c>
      <c r="C16" s="3" t="s">
        <v>1</v>
      </c>
      <c r="D16" s="3" t="s">
        <v>1</v>
      </c>
      <c r="E16" s="3" t="s">
        <v>1</v>
      </c>
      <c r="F16" s="25" t="s">
        <v>1</v>
      </c>
      <c r="G16" s="24"/>
      <c r="H16" s="3" t="s">
        <v>1</v>
      </c>
      <c r="I16" s="3" t="s">
        <v>1</v>
      </c>
      <c r="J16" s="3" t="s">
        <v>1</v>
      </c>
      <c r="K16" s="3" t="s">
        <v>1</v>
      </c>
      <c r="L16" s="3" t="s">
        <v>1</v>
      </c>
      <c r="M16" s="3" t="s">
        <v>1</v>
      </c>
      <c r="N16" s="3" t="s">
        <v>1</v>
      </c>
      <c r="O16" s="25" t="s">
        <v>1</v>
      </c>
      <c r="P16" s="24"/>
      <c r="Q16" s="3" t="s">
        <v>1</v>
      </c>
      <c r="R16" s="3" t="s">
        <v>1</v>
      </c>
      <c r="S16" s="3" t="s">
        <v>1</v>
      </c>
      <c r="T16" s="25" t="s">
        <v>1</v>
      </c>
      <c r="U16" s="24"/>
    </row>
    <row r="17" spans="1:25" x14ac:dyDescent="0.25">
      <c r="A17" s="10">
        <v>1000</v>
      </c>
      <c r="B17" s="5" t="s">
        <v>16</v>
      </c>
      <c r="C17" s="6" t="s">
        <v>1</v>
      </c>
      <c r="D17" s="5" t="s">
        <v>17</v>
      </c>
      <c r="E17" s="6" t="s">
        <v>1</v>
      </c>
      <c r="F17" s="33" t="s">
        <v>18</v>
      </c>
      <c r="G17" s="24"/>
      <c r="H17" s="1" t="s">
        <v>1</v>
      </c>
      <c r="I17" s="7" t="s">
        <v>1</v>
      </c>
      <c r="J17" s="6" t="s">
        <v>1</v>
      </c>
      <c r="K17" s="5" t="s">
        <v>1</v>
      </c>
      <c r="L17" s="6" t="s">
        <v>1</v>
      </c>
      <c r="M17" s="5" t="s">
        <v>19</v>
      </c>
      <c r="N17" s="6" t="s">
        <v>1</v>
      </c>
      <c r="O17" s="33" t="s">
        <v>1</v>
      </c>
      <c r="P17" s="24"/>
      <c r="Q17" s="6" t="s">
        <v>1</v>
      </c>
      <c r="R17" s="5" t="s">
        <v>1</v>
      </c>
      <c r="S17" s="1" t="s">
        <v>1</v>
      </c>
      <c r="T17" s="34" t="s">
        <v>20</v>
      </c>
      <c r="U17" s="24"/>
      <c r="X17" t="e">
        <f>VLOOKUP(A17,'Ark1'!A:A,1,FALSE)</f>
        <v>#N/A</v>
      </c>
      <c r="Y17" t="e">
        <f>VLOOKUP(A17,'Ark1'!A:B,2,FALSE)</f>
        <v>#N/A</v>
      </c>
    </row>
    <row r="18" spans="1:25" x14ac:dyDescent="0.25">
      <c r="A18" s="1" t="s">
        <v>1</v>
      </c>
      <c r="B18" s="1" t="s">
        <v>1</v>
      </c>
      <c r="C18" s="1" t="s">
        <v>1</v>
      </c>
      <c r="D18" s="1" t="s">
        <v>1</v>
      </c>
      <c r="E18" s="1" t="s">
        <v>1</v>
      </c>
      <c r="F18" s="32" t="s">
        <v>1</v>
      </c>
      <c r="G18" s="24"/>
      <c r="H18" s="1" t="s">
        <v>1</v>
      </c>
      <c r="I18" s="1" t="s">
        <v>1</v>
      </c>
      <c r="J18" s="1" t="s">
        <v>1</v>
      </c>
      <c r="K18" s="1" t="s">
        <v>1</v>
      </c>
      <c r="L18" s="1" t="s">
        <v>1</v>
      </c>
      <c r="M18" s="1" t="s">
        <v>1</v>
      </c>
      <c r="N18" s="1" t="s">
        <v>1</v>
      </c>
      <c r="O18" s="32" t="s">
        <v>1</v>
      </c>
      <c r="P18" s="24"/>
      <c r="Q18" s="1" t="s">
        <v>1</v>
      </c>
      <c r="R18" s="1" t="s">
        <v>1</v>
      </c>
      <c r="S18" s="1" t="s">
        <v>1</v>
      </c>
      <c r="T18" s="32" t="s">
        <v>1</v>
      </c>
      <c r="U18" s="24"/>
      <c r="X18" t="e">
        <f>VLOOKUP(A18,'Ark1'!A:A,1,FALSE)</f>
        <v>#N/A</v>
      </c>
      <c r="Y18" t="e">
        <f>VLOOKUP(A18,'Ark1'!A:B,2,FALSE)</f>
        <v>#N/A</v>
      </c>
    </row>
    <row r="19" spans="1:25" x14ac:dyDescent="0.25">
      <c r="A19" s="11">
        <v>1002</v>
      </c>
      <c r="B19" s="8" t="s">
        <v>21</v>
      </c>
      <c r="C19" s="6" t="s">
        <v>1</v>
      </c>
      <c r="D19" s="8" t="s">
        <v>17</v>
      </c>
      <c r="E19" s="6" t="s">
        <v>1</v>
      </c>
      <c r="F19" s="35" t="s">
        <v>22</v>
      </c>
      <c r="G19" s="24"/>
      <c r="H19" s="1" t="s">
        <v>1</v>
      </c>
      <c r="I19" s="9" t="s">
        <v>1</v>
      </c>
      <c r="J19" s="6" t="s">
        <v>1</v>
      </c>
      <c r="K19" s="8" t="s">
        <v>1</v>
      </c>
      <c r="L19" s="6" t="s">
        <v>1</v>
      </c>
      <c r="M19" s="8" t="s">
        <v>19</v>
      </c>
      <c r="N19" s="6" t="s">
        <v>1</v>
      </c>
      <c r="O19" s="35" t="s">
        <v>1</v>
      </c>
      <c r="P19" s="24"/>
      <c r="Q19" s="6" t="s">
        <v>1</v>
      </c>
      <c r="R19" s="8" t="s">
        <v>1</v>
      </c>
      <c r="S19" s="1" t="s">
        <v>1</v>
      </c>
      <c r="T19" s="36" t="s">
        <v>20</v>
      </c>
      <c r="U19" s="24"/>
      <c r="X19" t="e">
        <f>VLOOKUP(A19,'Ark1'!A:A,1,FALSE)</f>
        <v>#N/A</v>
      </c>
      <c r="Y19" t="e">
        <f>VLOOKUP(A19,'Ark1'!A:B,2,FALSE)</f>
        <v>#N/A</v>
      </c>
    </row>
    <row r="20" spans="1:25" x14ac:dyDescent="0.25">
      <c r="A20" s="1" t="s">
        <v>1</v>
      </c>
      <c r="B20" s="1" t="s">
        <v>1</v>
      </c>
      <c r="C20" s="1" t="s">
        <v>1</v>
      </c>
      <c r="D20" s="1" t="s">
        <v>1</v>
      </c>
      <c r="E20" s="1" t="s">
        <v>1</v>
      </c>
      <c r="F20" s="32" t="s">
        <v>1</v>
      </c>
      <c r="G20" s="24"/>
      <c r="H20" s="1" t="s">
        <v>1</v>
      </c>
      <c r="I20" s="1" t="s">
        <v>1</v>
      </c>
      <c r="J20" s="1" t="s">
        <v>1</v>
      </c>
      <c r="K20" s="1" t="s">
        <v>1</v>
      </c>
      <c r="L20" s="1" t="s">
        <v>1</v>
      </c>
      <c r="M20" s="1" t="s">
        <v>1</v>
      </c>
      <c r="N20" s="1" t="s">
        <v>1</v>
      </c>
      <c r="O20" s="32" t="s">
        <v>1</v>
      </c>
      <c r="P20" s="24"/>
      <c r="Q20" s="1" t="s">
        <v>1</v>
      </c>
      <c r="R20" s="1" t="s">
        <v>1</v>
      </c>
      <c r="S20" s="1" t="s">
        <v>1</v>
      </c>
      <c r="T20" s="32" t="s">
        <v>1</v>
      </c>
      <c r="U20" s="24"/>
      <c r="X20" t="e">
        <f>VLOOKUP(A20,'Ark1'!A:A,1,FALSE)</f>
        <v>#N/A</v>
      </c>
      <c r="Y20" t="e">
        <f>VLOOKUP(A20,'Ark1'!A:B,2,FALSE)</f>
        <v>#N/A</v>
      </c>
    </row>
    <row r="21" spans="1:25" x14ac:dyDescent="0.25">
      <c r="A21" s="10">
        <v>1003</v>
      </c>
      <c r="B21" s="5" t="s">
        <v>23</v>
      </c>
      <c r="C21" s="6" t="s">
        <v>1</v>
      </c>
      <c r="D21" s="5" t="s">
        <v>17</v>
      </c>
      <c r="E21" s="6" t="s">
        <v>1</v>
      </c>
      <c r="F21" s="33" t="s">
        <v>22</v>
      </c>
      <c r="G21" s="24"/>
      <c r="H21" s="1" t="s">
        <v>1</v>
      </c>
      <c r="I21" s="7" t="s">
        <v>1</v>
      </c>
      <c r="J21" s="6" t="s">
        <v>1</v>
      </c>
      <c r="K21" s="5" t="s">
        <v>1</v>
      </c>
      <c r="L21" s="6" t="s">
        <v>1</v>
      </c>
      <c r="M21" s="5" t="s">
        <v>19</v>
      </c>
      <c r="N21" s="6" t="s">
        <v>1</v>
      </c>
      <c r="O21" s="33" t="s">
        <v>1</v>
      </c>
      <c r="P21" s="24"/>
      <c r="Q21" s="6" t="s">
        <v>1</v>
      </c>
      <c r="R21" s="5" t="s">
        <v>1</v>
      </c>
      <c r="S21" s="1" t="s">
        <v>1</v>
      </c>
      <c r="T21" s="34" t="s">
        <v>20</v>
      </c>
      <c r="U21" s="24"/>
      <c r="X21" t="e">
        <f>VLOOKUP(A21,'Ark1'!A:A,1,FALSE)</f>
        <v>#N/A</v>
      </c>
      <c r="Y21" t="e">
        <f>VLOOKUP(A21,'Ark1'!A:B,2,FALSE)</f>
        <v>#N/A</v>
      </c>
    </row>
    <row r="22" spans="1:25" x14ac:dyDescent="0.25">
      <c r="A22" s="11">
        <v>1005</v>
      </c>
      <c r="B22" s="8" t="s">
        <v>24</v>
      </c>
      <c r="C22" s="6" t="s">
        <v>1</v>
      </c>
      <c r="D22" s="8" t="s">
        <v>17</v>
      </c>
      <c r="E22" s="6" t="s">
        <v>1</v>
      </c>
      <c r="F22" s="35" t="s">
        <v>22</v>
      </c>
      <c r="G22" s="24"/>
      <c r="H22" s="1" t="s">
        <v>1</v>
      </c>
      <c r="I22" s="9" t="s">
        <v>1</v>
      </c>
      <c r="J22" s="6" t="s">
        <v>1</v>
      </c>
      <c r="K22" s="8" t="s">
        <v>1</v>
      </c>
      <c r="L22" s="6" t="s">
        <v>1</v>
      </c>
      <c r="M22" s="8" t="s">
        <v>19</v>
      </c>
      <c r="N22" s="6" t="s">
        <v>1</v>
      </c>
      <c r="O22" s="35" t="s">
        <v>1</v>
      </c>
      <c r="P22" s="24"/>
      <c r="Q22" s="6" t="s">
        <v>1</v>
      </c>
      <c r="R22" s="8" t="s">
        <v>1</v>
      </c>
      <c r="S22" s="1" t="s">
        <v>1</v>
      </c>
      <c r="T22" s="36" t="s">
        <v>20</v>
      </c>
      <c r="U22" s="24"/>
      <c r="X22" t="e">
        <f>VLOOKUP(A22,'Ark1'!A:A,1,FALSE)</f>
        <v>#N/A</v>
      </c>
      <c r="Y22" t="e">
        <f>VLOOKUP(A22,'Ark1'!A:B,2,FALSE)</f>
        <v>#N/A</v>
      </c>
    </row>
    <row r="23" spans="1:25" ht="21" x14ac:dyDescent="0.25">
      <c r="A23" s="10">
        <v>1100</v>
      </c>
      <c r="B23" s="5" t="s">
        <v>25</v>
      </c>
      <c r="C23" s="6" t="s">
        <v>1</v>
      </c>
      <c r="D23" s="5" t="s">
        <v>17</v>
      </c>
      <c r="E23" s="6" t="s">
        <v>1</v>
      </c>
      <c r="F23" s="33" t="s">
        <v>22</v>
      </c>
      <c r="G23" s="24"/>
      <c r="H23" s="1" t="s">
        <v>1</v>
      </c>
      <c r="I23" s="7" t="s">
        <v>1</v>
      </c>
      <c r="J23" s="6" t="s">
        <v>1</v>
      </c>
      <c r="K23" s="5" t="s">
        <v>1</v>
      </c>
      <c r="L23" s="6" t="s">
        <v>1</v>
      </c>
      <c r="M23" s="5" t="s">
        <v>19</v>
      </c>
      <c r="N23" s="6" t="s">
        <v>1</v>
      </c>
      <c r="O23" s="33" t="s">
        <v>1</v>
      </c>
      <c r="P23" s="24"/>
      <c r="Q23" s="6" t="s">
        <v>1</v>
      </c>
      <c r="R23" s="5" t="s">
        <v>1</v>
      </c>
      <c r="S23" s="1" t="s">
        <v>1</v>
      </c>
      <c r="T23" s="34" t="s">
        <v>20</v>
      </c>
      <c r="U23" s="24"/>
      <c r="X23" t="e">
        <f>VLOOKUP(A23,'Ark1'!A:A,1,FALSE)</f>
        <v>#N/A</v>
      </c>
      <c r="Y23" t="e">
        <f>VLOOKUP(A23,'Ark1'!A:B,2,FALSE)</f>
        <v>#N/A</v>
      </c>
    </row>
    <row r="24" spans="1:25" x14ac:dyDescent="0.25">
      <c r="A24" s="12">
        <v>1110</v>
      </c>
      <c r="B24" s="9" t="s">
        <v>26</v>
      </c>
      <c r="C24" s="1" t="s">
        <v>1</v>
      </c>
      <c r="D24" s="9" t="s">
        <v>17</v>
      </c>
      <c r="E24" s="1" t="s">
        <v>1</v>
      </c>
      <c r="F24" s="36" t="s">
        <v>27</v>
      </c>
      <c r="G24" s="24"/>
      <c r="H24" s="1" t="s">
        <v>1</v>
      </c>
      <c r="I24" s="9" t="s">
        <v>28</v>
      </c>
      <c r="J24" s="1" t="s">
        <v>1</v>
      </c>
      <c r="K24" s="9" t="s">
        <v>1</v>
      </c>
      <c r="L24" s="1" t="s">
        <v>1</v>
      </c>
      <c r="M24" s="9" t="s">
        <v>19</v>
      </c>
      <c r="N24" s="1" t="s">
        <v>1</v>
      </c>
      <c r="O24" s="36" t="s">
        <v>1</v>
      </c>
      <c r="P24" s="24"/>
      <c r="Q24" s="1" t="s">
        <v>1</v>
      </c>
      <c r="R24" s="9" t="s">
        <v>1</v>
      </c>
      <c r="S24" s="1" t="s">
        <v>1</v>
      </c>
      <c r="T24" s="36" t="s">
        <v>1</v>
      </c>
      <c r="U24" s="24"/>
      <c r="X24" t="e">
        <f>VLOOKUP(A24,'Ark1'!A:A,1,FALSE)</f>
        <v>#N/A</v>
      </c>
      <c r="Y24" t="e">
        <f>VLOOKUP(A24,'Ark1'!A:B,2,FALSE)</f>
        <v>#N/A</v>
      </c>
    </row>
    <row r="25" spans="1:25" ht="21" x14ac:dyDescent="0.25">
      <c r="A25" s="13">
        <v>1115</v>
      </c>
      <c r="B25" s="7" t="s">
        <v>29</v>
      </c>
      <c r="C25" s="1" t="s">
        <v>1</v>
      </c>
      <c r="D25" s="7" t="s">
        <v>17</v>
      </c>
      <c r="E25" s="1" t="s">
        <v>1</v>
      </c>
      <c r="F25" s="34" t="s">
        <v>27</v>
      </c>
      <c r="G25" s="24"/>
      <c r="H25" s="1" t="s">
        <v>1</v>
      </c>
      <c r="I25" s="7" t="s">
        <v>28</v>
      </c>
      <c r="J25" s="1" t="s">
        <v>1</v>
      </c>
      <c r="K25" s="7" t="s">
        <v>1</v>
      </c>
      <c r="L25" s="1" t="s">
        <v>1</v>
      </c>
      <c r="M25" s="7" t="s">
        <v>30</v>
      </c>
      <c r="N25" s="1" t="s">
        <v>1</v>
      </c>
      <c r="O25" s="34" t="s">
        <v>31</v>
      </c>
      <c r="P25" s="24"/>
      <c r="Q25" s="1" t="s">
        <v>1</v>
      </c>
      <c r="R25" s="7" t="s">
        <v>32</v>
      </c>
      <c r="S25" s="1" t="s">
        <v>1</v>
      </c>
      <c r="T25" s="34" t="s">
        <v>1</v>
      </c>
      <c r="U25" s="24"/>
      <c r="X25" t="e">
        <f>VLOOKUP(A25,'Ark1'!A:A,1,FALSE)</f>
        <v>#N/A</v>
      </c>
      <c r="Y25" t="e">
        <f>VLOOKUP(A25,'Ark1'!A:B,2,FALSE)</f>
        <v>#N/A</v>
      </c>
    </row>
    <row r="26" spans="1:25" ht="21" x14ac:dyDescent="0.25">
      <c r="A26" s="12">
        <v>1116</v>
      </c>
      <c r="B26" s="9" t="s">
        <v>33</v>
      </c>
      <c r="C26" s="1" t="s">
        <v>1</v>
      </c>
      <c r="D26" s="9" t="s">
        <v>17</v>
      </c>
      <c r="E26" s="1" t="s">
        <v>1</v>
      </c>
      <c r="F26" s="36" t="s">
        <v>27</v>
      </c>
      <c r="G26" s="24"/>
      <c r="H26" s="1" t="s">
        <v>1</v>
      </c>
      <c r="I26" s="9" t="s">
        <v>28</v>
      </c>
      <c r="J26" s="1" t="s">
        <v>1</v>
      </c>
      <c r="K26" s="9" t="s">
        <v>1</v>
      </c>
      <c r="L26" s="1" t="s">
        <v>1</v>
      </c>
      <c r="M26" s="9" t="s">
        <v>34</v>
      </c>
      <c r="N26" s="1" t="s">
        <v>1</v>
      </c>
      <c r="O26" s="36" t="s">
        <v>31</v>
      </c>
      <c r="P26" s="24"/>
      <c r="Q26" s="1" t="s">
        <v>1</v>
      </c>
      <c r="R26" s="9" t="s">
        <v>32</v>
      </c>
      <c r="S26" s="1" t="s">
        <v>1</v>
      </c>
      <c r="T26" s="36" t="s">
        <v>1</v>
      </c>
      <c r="U26" s="24"/>
      <c r="X26" t="e">
        <f>VLOOKUP(A26,'Ark1'!A:A,1,FALSE)</f>
        <v>#N/A</v>
      </c>
      <c r="Y26" t="e">
        <f>VLOOKUP(A26,'Ark1'!A:B,2,FALSE)</f>
        <v>#N/A</v>
      </c>
    </row>
    <row r="27" spans="1:25" x14ac:dyDescent="0.25">
      <c r="A27" s="10">
        <v>1190</v>
      </c>
      <c r="B27" s="5" t="s">
        <v>35</v>
      </c>
      <c r="C27" s="6" t="s">
        <v>1</v>
      </c>
      <c r="D27" s="5" t="s">
        <v>17</v>
      </c>
      <c r="E27" s="6" t="s">
        <v>1</v>
      </c>
      <c r="F27" s="33" t="s">
        <v>36</v>
      </c>
      <c r="G27" s="24"/>
      <c r="H27" s="1" t="s">
        <v>1</v>
      </c>
      <c r="I27" s="7" t="s">
        <v>1</v>
      </c>
      <c r="J27" s="6" t="s">
        <v>1</v>
      </c>
      <c r="K27" s="5" t="s">
        <v>37</v>
      </c>
      <c r="L27" s="6" t="s">
        <v>1</v>
      </c>
      <c r="M27" s="5" t="s">
        <v>19</v>
      </c>
      <c r="N27" s="6" t="s">
        <v>1</v>
      </c>
      <c r="O27" s="33" t="s">
        <v>1</v>
      </c>
      <c r="P27" s="24"/>
      <c r="Q27" s="6" t="s">
        <v>1</v>
      </c>
      <c r="R27" s="5" t="s">
        <v>1</v>
      </c>
      <c r="S27" s="1" t="s">
        <v>1</v>
      </c>
      <c r="T27" s="34" t="s">
        <v>20</v>
      </c>
      <c r="U27" s="24"/>
      <c r="X27" t="e">
        <f>VLOOKUP(A27,'Ark1'!A:A,1,FALSE)</f>
        <v>#N/A</v>
      </c>
      <c r="Y27" t="e">
        <f>VLOOKUP(A27,'Ark1'!A:B,2,FALSE)</f>
        <v>#N/A</v>
      </c>
    </row>
    <row r="28" spans="1:25" ht="21" x14ac:dyDescent="0.25">
      <c r="A28" s="11">
        <v>1200</v>
      </c>
      <c r="B28" s="8" t="s">
        <v>38</v>
      </c>
      <c r="C28" s="6" t="s">
        <v>1</v>
      </c>
      <c r="D28" s="8" t="s">
        <v>17</v>
      </c>
      <c r="E28" s="6" t="s">
        <v>1</v>
      </c>
      <c r="F28" s="35" t="s">
        <v>22</v>
      </c>
      <c r="G28" s="24"/>
      <c r="H28" s="1" t="s">
        <v>1</v>
      </c>
      <c r="I28" s="9" t="s">
        <v>1</v>
      </c>
      <c r="J28" s="6" t="s">
        <v>1</v>
      </c>
      <c r="K28" s="8" t="s">
        <v>1</v>
      </c>
      <c r="L28" s="6" t="s">
        <v>1</v>
      </c>
      <c r="M28" s="8" t="s">
        <v>19</v>
      </c>
      <c r="N28" s="6" t="s">
        <v>1</v>
      </c>
      <c r="O28" s="35" t="s">
        <v>1</v>
      </c>
      <c r="P28" s="24"/>
      <c r="Q28" s="6" t="s">
        <v>1</v>
      </c>
      <c r="R28" s="8" t="s">
        <v>1</v>
      </c>
      <c r="S28" s="1" t="s">
        <v>1</v>
      </c>
      <c r="T28" s="36" t="s">
        <v>20</v>
      </c>
      <c r="U28" s="24"/>
      <c r="X28" t="e">
        <f>VLOOKUP(A28,'Ark1'!A:A,1,FALSE)</f>
        <v>#N/A</v>
      </c>
      <c r="Y28" t="e">
        <f>VLOOKUP(A28,'Ark1'!A:B,2,FALSE)</f>
        <v>#N/A</v>
      </c>
    </row>
    <row r="29" spans="1:25" x14ac:dyDescent="0.25">
      <c r="A29" s="13">
        <v>1210</v>
      </c>
      <c r="B29" s="7" t="s">
        <v>39</v>
      </c>
      <c r="C29" s="1" t="s">
        <v>1</v>
      </c>
      <c r="D29" s="7" t="s">
        <v>17</v>
      </c>
      <c r="E29" s="1" t="s">
        <v>1</v>
      </c>
      <c r="F29" s="34" t="s">
        <v>27</v>
      </c>
      <c r="G29" s="24"/>
      <c r="H29" s="1" t="s">
        <v>1</v>
      </c>
      <c r="I29" s="7" t="s">
        <v>28</v>
      </c>
      <c r="J29" s="1" t="s">
        <v>1</v>
      </c>
      <c r="K29" s="7" t="s">
        <v>1</v>
      </c>
      <c r="L29" s="1" t="s">
        <v>1</v>
      </c>
      <c r="M29" s="7" t="s">
        <v>19</v>
      </c>
      <c r="N29" s="1" t="s">
        <v>1</v>
      </c>
      <c r="O29" s="34" t="s">
        <v>1</v>
      </c>
      <c r="P29" s="24"/>
      <c r="Q29" s="1" t="s">
        <v>1</v>
      </c>
      <c r="R29" s="7" t="s">
        <v>1</v>
      </c>
      <c r="S29" s="1" t="s">
        <v>1</v>
      </c>
      <c r="T29" s="34" t="s">
        <v>1</v>
      </c>
      <c r="U29" s="24"/>
      <c r="X29">
        <f>VLOOKUP(A29,'Ark1'!A:A,1,FALSE)</f>
        <v>1210</v>
      </c>
      <c r="Y29" t="str">
        <f>VLOOKUP(A29,'Ark1'!A:B,2,FALSE)</f>
        <v>Anläggningar och maskiner</v>
      </c>
    </row>
    <row r="30" spans="1:25" x14ac:dyDescent="0.25">
      <c r="A30" s="12">
        <v>1215</v>
      </c>
      <c r="B30" s="9" t="s">
        <v>40</v>
      </c>
      <c r="C30" s="1" t="s">
        <v>1</v>
      </c>
      <c r="D30" s="9" t="s">
        <v>17</v>
      </c>
      <c r="E30" s="1" t="s">
        <v>1</v>
      </c>
      <c r="F30" s="36" t="s">
        <v>27</v>
      </c>
      <c r="G30" s="24"/>
      <c r="H30" s="1" t="s">
        <v>1</v>
      </c>
      <c r="I30" s="9" t="s">
        <v>28</v>
      </c>
      <c r="J30" s="1" t="s">
        <v>1</v>
      </c>
      <c r="K30" s="9" t="s">
        <v>1</v>
      </c>
      <c r="L30" s="1" t="s">
        <v>1</v>
      </c>
      <c r="M30" s="9" t="s">
        <v>19</v>
      </c>
      <c r="N30" s="1" t="s">
        <v>1</v>
      </c>
      <c r="O30" s="36" t="s">
        <v>1</v>
      </c>
      <c r="P30" s="24"/>
      <c r="Q30" s="1" t="s">
        <v>1</v>
      </c>
      <c r="R30" s="9" t="s">
        <v>1</v>
      </c>
      <c r="S30" s="1" t="s">
        <v>1</v>
      </c>
      <c r="T30" s="36" t="s">
        <v>1</v>
      </c>
      <c r="U30" s="24"/>
      <c r="X30" t="e">
        <f>VLOOKUP(A30,'Ark1'!A:A,1,FALSE)</f>
        <v>#N/A</v>
      </c>
      <c r="Y30" t="e">
        <f>VLOOKUP(A30,'Ark1'!A:B,2,FALSE)</f>
        <v>#N/A</v>
      </c>
    </row>
    <row r="31" spans="1:25" ht="21" x14ac:dyDescent="0.25">
      <c r="A31" s="13">
        <v>1216</v>
      </c>
      <c r="B31" s="7" t="s">
        <v>41</v>
      </c>
      <c r="C31" s="1" t="s">
        <v>1</v>
      </c>
      <c r="D31" s="7" t="s">
        <v>17</v>
      </c>
      <c r="E31" s="1" t="s">
        <v>1</v>
      </c>
      <c r="F31" s="34" t="s">
        <v>27</v>
      </c>
      <c r="G31" s="24"/>
      <c r="H31" s="1" t="s">
        <v>1</v>
      </c>
      <c r="I31" s="7" t="s">
        <v>28</v>
      </c>
      <c r="J31" s="1" t="s">
        <v>1</v>
      </c>
      <c r="K31" s="7" t="s">
        <v>1</v>
      </c>
      <c r="L31" s="1" t="s">
        <v>1</v>
      </c>
      <c r="M31" s="7" t="s">
        <v>34</v>
      </c>
      <c r="N31" s="1" t="s">
        <v>1</v>
      </c>
      <c r="O31" s="34" t="s">
        <v>31</v>
      </c>
      <c r="P31" s="24"/>
      <c r="Q31" s="1" t="s">
        <v>1</v>
      </c>
      <c r="R31" s="7" t="s">
        <v>32</v>
      </c>
      <c r="S31" s="1" t="s">
        <v>1</v>
      </c>
      <c r="T31" s="34" t="s">
        <v>1</v>
      </c>
      <c r="U31" s="24"/>
      <c r="X31" t="e">
        <f>VLOOKUP(A31,'Ark1'!A:A,1,FALSE)</f>
        <v>#N/A</v>
      </c>
      <c r="Y31" t="e">
        <f>VLOOKUP(A31,'Ark1'!A:B,2,FALSE)</f>
        <v>#N/A</v>
      </c>
    </row>
    <row r="32" spans="1:25" x14ac:dyDescent="0.25">
      <c r="A32" s="12">
        <v>1219</v>
      </c>
      <c r="B32" s="9" t="s">
        <v>42</v>
      </c>
      <c r="C32" s="1" t="s">
        <v>1</v>
      </c>
      <c r="D32" s="9" t="s">
        <v>17</v>
      </c>
      <c r="E32" s="1" t="s">
        <v>1</v>
      </c>
      <c r="F32" s="36" t="s">
        <v>27</v>
      </c>
      <c r="G32" s="24"/>
      <c r="H32" s="1" t="s">
        <v>1</v>
      </c>
      <c r="I32" s="9" t="s">
        <v>28</v>
      </c>
      <c r="J32" s="1" t="s">
        <v>1</v>
      </c>
      <c r="K32" s="9" t="s">
        <v>1</v>
      </c>
      <c r="L32" s="1" t="s">
        <v>1</v>
      </c>
      <c r="M32" s="9" t="s">
        <v>19</v>
      </c>
      <c r="N32" s="1" t="s">
        <v>1</v>
      </c>
      <c r="O32" s="36" t="s">
        <v>1</v>
      </c>
      <c r="P32" s="24"/>
      <c r="Q32" s="1" t="s">
        <v>1</v>
      </c>
      <c r="R32" s="9" t="s">
        <v>1</v>
      </c>
      <c r="S32" s="1" t="s">
        <v>1</v>
      </c>
      <c r="T32" s="36" t="s">
        <v>1</v>
      </c>
      <c r="U32" s="24"/>
      <c r="X32">
        <f>VLOOKUP(A32,'Ark1'!A:A,1,FALSE)</f>
        <v>1219</v>
      </c>
      <c r="Y32" t="str">
        <f>VLOOKUP(A32,'Ark1'!A:B,2,FALSE)</f>
        <v>Ack avskrivningar verktyg och
maskiner</v>
      </c>
    </row>
    <row r="33" spans="1:25" s="17" customFormat="1" x14ac:dyDescent="0.25">
      <c r="A33" s="14">
        <v>1220</v>
      </c>
      <c r="B33" s="15" t="s">
        <v>43</v>
      </c>
      <c r="C33" s="16" t="s">
        <v>1</v>
      </c>
      <c r="D33" s="15" t="s">
        <v>17</v>
      </c>
      <c r="E33" s="16" t="s">
        <v>1</v>
      </c>
      <c r="F33" s="37" t="s">
        <v>36</v>
      </c>
      <c r="G33" s="38"/>
      <c r="H33" s="18" t="s">
        <v>1</v>
      </c>
      <c r="I33" s="19" t="s">
        <v>1</v>
      </c>
      <c r="J33" s="16" t="s">
        <v>1</v>
      </c>
      <c r="K33" s="15" t="s">
        <v>44</v>
      </c>
      <c r="L33" s="16" t="s">
        <v>1</v>
      </c>
      <c r="M33" s="15" t="s">
        <v>19</v>
      </c>
      <c r="N33" s="16" t="s">
        <v>1</v>
      </c>
      <c r="O33" s="37" t="s">
        <v>1</v>
      </c>
      <c r="P33" s="38"/>
      <c r="Q33" s="16" t="s">
        <v>1</v>
      </c>
      <c r="R33" s="15" t="s">
        <v>1</v>
      </c>
      <c r="S33" s="18" t="s">
        <v>1</v>
      </c>
      <c r="T33" s="39" t="s">
        <v>20</v>
      </c>
      <c r="U33" s="38"/>
      <c r="X33" s="17">
        <f>VLOOKUP(A33,'Ark1'!A:A,1,FALSE)</f>
        <v>1220</v>
      </c>
      <c r="Y33" s="17" t="str">
        <f>VLOOKUP(A33,'Ark1'!A:B,2,FALSE)</f>
        <v>Verktyg och installationer</v>
      </c>
    </row>
    <row r="34" spans="1:25" s="17" customFormat="1" x14ac:dyDescent="0.25">
      <c r="A34" s="20">
        <v>1240</v>
      </c>
      <c r="B34" s="21" t="s">
        <v>45</v>
      </c>
      <c r="C34" s="16" t="s">
        <v>1</v>
      </c>
      <c r="D34" s="21" t="s">
        <v>17</v>
      </c>
      <c r="E34" s="16" t="s">
        <v>1</v>
      </c>
      <c r="F34" s="40" t="s">
        <v>22</v>
      </c>
      <c r="G34" s="38"/>
      <c r="H34" s="18" t="s">
        <v>1</v>
      </c>
      <c r="I34" s="22" t="s">
        <v>1</v>
      </c>
      <c r="J34" s="16" t="s">
        <v>1</v>
      </c>
      <c r="K34" s="21" t="s">
        <v>1</v>
      </c>
      <c r="L34" s="16" t="s">
        <v>1</v>
      </c>
      <c r="M34" s="21" t="s">
        <v>19</v>
      </c>
      <c r="N34" s="16" t="s">
        <v>1</v>
      </c>
      <c r="O34" s="40" t="s">
        <v>1</v>
      </c>
      <c r="P34" s="38"/>
      <c r="Q34" s="16" t="s">
        <v>1</v>
      </c>
      <c r="R34" s="21" t="s">
        <v>1</v>
      </c>
      <c r="S34" s="18" t="s">
        <v>1</v>
      </c>
      <c r="T34" s="41" t="s">
        <v>20</v>
      </c>
      <c r="U34" s="38"/>
      <c r="X34" s="17">
        <f>VLOOKUP(A34,'Ark1'!A:A,1,FALSE)</f>
        <v>1240</v>
      </c>
      <c r="Y34" s="17" t="str">
        <f>VLOOKUP(A34,'Ark1'!A:B,2,FALSE)</f>
        <v>Fordon för transport</v>
      </c>
    </row>
    <row r="35" spans="1:25" x14ac:dyDescent="0.25">
      <c r="A35" s="13">
        <v>1241</v>
      </c>
      <c r="B35" s="7" t="s">
        <v>46</v>
      </c>
      <c r="C35" s="1" t="s">
        <v>1</v>
      </c>
      <c r="D35" s="7" t="s">
        <v>17</v>
      </c>
      <c r="E35" s="1" t="s">
        <v>1</v>
      </c>
      <c r="F35" s="34" t="s">
        <v>27</v>
      </c>
      <c r="G35" s="24"/>
      <c r="H35" s="1" t="s">
        <v>1</v>
      </c>
      <c r="I35" s="7" t="s">
        <v>28</v>
      </c>
      <c r="J35" s="1" t="s">
        <v>1</v>
      </c>
      <c r="K35" s="7" t="s">
        <v>1</v>
      </c>
      <c r="L35" s="1" t="s">
        <v>1</v>
      </c>
      <c r="M35" s="7" t="s">
        <v>19</v>
      </c>
      <c r="N35" s="1" t="s">
        <v>1</v>
      </c>
      <c r="O35" s="34" t="s">
        <v>1</v>
      </c>
      <c r="P35" s="24"/>
      <c r="Q35" s="1" t="s">
        <v>1</v>
      </c>
      <c r="R35" s="7" t="s">
        <v>1</v>
      </c>
      <c r="S35" s="1" t="s">
        <v>1</v>
      </c>
      <c r="T35" s="34" t="s">
        <v>1</v>
      </c>
      <c r="U35" s="24"/>
      <c r="X35" t="e">
        <f>VLOOKUP(A35,'Ark1'!A:A,1,FALSE)</f>
        <v>#N/A</v>
      </c>
      <c r="Y35" t="e">
        <f>VLOOKUP(A35,'Ark1'!A:B,2,FALSE)</f>
        <v>#N/A</v>
      </c>
    </row>
    <row r="36" spans="1:25" x14ac:dyDescent="0.25">
      <c r="A36" s="12">
        <v>1245</v>
      </c>
      <c r="B36" s="9" t="s">
        <v>40</v>
      </c>
      <c r="C36" s="1" t="s">
        <v>1</v>
      </c>
      <c r="D36" s="9" t="s">
        <v>17</v>
      </c>
      <c r="E36" s="1" t="s">
        <v>1</v>
      </c>
      <c r="F36" s="36" t="s">
        <v>27</v>
      </c>
      <c r="G36" s="24"/>
      <c r="H36" s="1" t="s">
        <v>1</v>
      </c>
      <c r="I36" s="9" t="s">
        <v>28</v>
      </c>
      <c r="J36" s="1" t="s">
        <v>1</v>
      </c>
      <c r="K36" s="9" t="s">
        <v>1</v>
      </c>
      <c r="L36" s="1" t="s">
        <v>1</v>
      </c>
      <c r="M36" s="9" t="s">
        <v>30</v>
      </c>
      <c r="N36" s="1" t="s">
        <v>1</v>
      </c>
      <c r="O36" s="36" t="s">
        <v>31</v>
      </c>
      <c r="P36" s="24"/>
      <c r="Q36" s="1" t="s">
        <v>1</v>
      </c>
      <c r="R36" s="9" t="s">
        <v>32</v>
      </c>
      <c r="S36" s="1" t="s">
        <v>1</v>
      </c>
      <c r="T36" s="36" t="s">
        <v>1</v>
      </c>
      <c r="U36" s="24"/>
      <c r="X36" t="e">
        <f>VLOOKUP(A36,'Ark1'!A:A,1,FALSE)</f>
        <v>#N/A</v>
      </c>
      <c r="Y36" t="e">
        <f>VLOOKUP(A36,'Ark1'!A:B,2,FALSE)</f>
        <v>#N/A</v>
      </c>
    </row>
    <row r="37" spans="1:25" ht="21" x14ac:dyDescent="0.25">
      <c r="A37" s="13">
        <v>1246</v>
      </c>
      <c r="B37" s="7" t="s">
        <v>47</v>
      </c>
      <c r="C37" s="1" t="s">
        <v>1</v>
      </c>
      <c r="D37" s="7" t="s">
        <v>17</v>
      </c>
      <c r="E37" s="1" t="s">
        <v>1</v>
      </c>
      <c r="F37" s="34" t="s">
        <v>27</v>
      </c>
      <c r="G37" s="24"/>
      <c r="H37" s="1" t="s">
        <v>1</v>
      </c>
      <c r="I37" s="7" t="s">
        <v>28</v>
      </c>
      <c r="J37" s="1" t="s">
        <v>1</v>
      </c>
      <c r="K37" s="7" t="s">
        <v>1</v>
      </c>
      <c r="L37" s="1" t="s">
        <v>1</v>
      </c>
      <c r="M37" s="7" t="s">
        <v>34</v>
      </c>
      <c r="N37" s="1" t="s">
        <v>1</v>
      </c>
      <c r="O37" s="34" t="s">
        <v>31</v>
      </c>
      <c r="P37" s="24"/>
      <c r="Q37" s="1" t="s">
        <v>1</v>
      </c>
      <c r="R37" s="7" t="s">
        <v>32</v>
      </c>
      <c r="S37" s="1" t="s">
        <v>1</v>
      </c>
      <c r="T37" s="34" t="s">
        <v>1</v>
      </c>
      <c r="U37" s="24"/>
      <c r="X37" t="e">
        <f>VLOOKUP(A37,'Ark1'!A:A,1,FALSE)</f>
        <v>#N/A</v>
      </c>
      <c r="Y37" t="e">
        <f>VLOOKUP(A37,'Ark1'!A:B,2,FALSE)</f>
        <v>#N/A</v>
      </c>
    </row>
    <row r="38" spans="1:25" x14ac:dyDescent="0.25">
      <c r="A38" s="12">
        <v>1249</v>
      </c>
      <c r="B38" s="9" t="s">
        <v>48</v>
      </c>
      <c r="C38" s="1" t="s">
        <v>1</v>
      </c>
      <c r="D38" s="9" t="s">
        <v>17</v>
      </c>
      <c r="E38" s="1" t="s">
        <v>1</v>
      </c>
      <c r="F38" s="36" t="s">
        <v>27</v>
      </c>
      <c r="G38" s="24"/>
      <c r="H38" s="1" t="s">
        <v>1</v>
      </c>
      <c r="I38" s="9" t="s">
        <v>28</v>
      </c>
      <c r="J38" s="1" t="s">
        <v>1</v>
      </c>
      <c r="K38" s="9" t="s">
        <v>1</v>
      </c>
      <c r="L38" s="1" t="s">
        <v>1</v>
      </c>
      <c r="M38" s="9" t="s">
        <v>19</v>
      </c>
      <c r="N38" s="1" t="s">
        <v>1</v>
      </c>
      <c r="O38" s="36" t="s">
        <v>1</v>
      </c>
      <c r="P38" s="24"/>
      <c r="Q38" s="1" t="s">
        <v>1</v>
      </c>
      <c r="R38" s="9" t="s">
        <v>1</v>
      </c>
      <c r="S38" s="1" t="s">
        <v>1</v>
      </c>
      <c r="T38" s="36" t="s">
        <v>1</v>
      </c>
      <c r="U38" s="24"/>
      <c r="X38">
        <f>VLOOKUP(A38,'Ark1'!A:A,1,FALSE)</f>
        <v>1249</v>
      </c>
      <c r="Y38" t="str">
        <f>VLOOKUP(A38,'Ark1'!A:B,2,FALSE)</f>
        <v>Ack avskrivningar fordon för transport</v>
      </c>
    </row>
    <row r="39" spans="1:25" x14ac:dyDescent="0.25">
      <c r="A39" s="10">
        <v>1250</v>
      </c>
      <c r="B39" s="5" t="s">
        <v>49</v>
      </c>
      <c r="C39" s="6" t="s">
        <v>1</v>
      </c>
      <c r="D39" s="5" t="s">
        <v>17</v>
      </c>
      <c r="E39" s="6" t="s">
        <v>1</v>
      </c>
      <c r="F39" s="33" t="s">
        <v>36</v>
      </c>
      <c r="G39" s="24"/>
      <c r="H39" s="1" t="s">
        <v>1</v>
      </c>
      <c r="I39" s="7" t="s">
        <v>1</v>
      </c>
      <c r="J39" s="6" t="s">
        <v>1</v>
      </c>
      <c r="K39" s="5" t="s">
        <v>50</v>
      </c>
      <c r="L39" s="6" t="s">
        <v>1</v>
      </c>
      <c r="M39" s="5" t="s">
        <v>19</v>
      </c>
      <c r="N39" s="6" t="s">
        <v>1</v>
      </c>
      <c r="O39" s="33" t="s">
        <v>1</v>
      </c>
      <c r="P39" s="24"/>
      <c r="Q39" s="6" t="s">
        <v>1</v>
      </c>
      <c r="R39" s="5" t="s">
        <v>1</v>
      </c>
      <c r="S39" s="1" t="s">
        <v>1</v>
      </c>
      <c r="T39" s="34" t="s">
        <v>20</v>
      </c>
      <c r="U39" s="24"/>
      <c r="X39" t="e">
        <f>VLOOKUP(A39,'Ark1'!A:A,1,FALSE)</f>
        <v>#N/A</v>
      </c>
      <c r="Y39" t="e">
        <f>VLOOKUP(A39,'Ark1'!A:B,2,FALSE)</f>
        <v>#N/A</v>
      </c>
    </row>
    <row r="40" spans="1:25" x14ac:dyDescent="0.25">
      <c r="A40" s="11">
        <v>1260</v>
      </c>
      <c r="B40" s="8" t="s">
        <v>51</v>
      </c>
      <c r="C40" s="6" t="s">
        <v>1</v>
      </c>
      <c r="D40" s="8" t="s">
        <v>17</v>
      </c>
      <c r="E40" s="6" t="s">
        <v>1</v>
      </c>
      <c r="F40" s="35" t="s">
        <v>36</v>
      </c>
      <c r="G40" s="24"/>
      <c r="H40" s="1" t="s">
        <v>1</v>
      </c>
      <c r="I40" s="9" t="s">
        <v>1</v>
      </c>
      <c r="J40" s="6" t="s">
        <v>1</v>
      </c>
      <c r="K40" s="8" t="s">
        <v>52</v>
      </c>
      <c r="L40" s="6" t="s">
        <v>1</v>
      </c>
      <c r="M40" s="8" t="s">
        <v>19</v>
      </c>
      <c r="N40" s="6" t="s">
        <v>1</v>
      </c>
      <c r="O40" s="35" t="s">
        <v>1</v>
      </c>
      <c r="P40" s="24"/>
      <c r="Q40" s="6" t="s">
        <v>1</v>
      </c>
      <c r="R40" s="8" t="s">
        <v>1</v>
      </c>
      <c r="S40" s="1" t="s">
        <v>1</v>
      </c>
      <c r="T40" s="36" t="s">
        <v>20</v>
      </c>
      <c r="U40" s="24"/>
      <c r="X40" t="e">
        <f>VLOOKUP(A40,'Ark1'!A:A,1,FALSE)</f>
        <v>#N/A</v>
      </c>
      <c r="Y40" t="e">
        <f>VLOOKUP(A40,'Ark1'!A:B,2,FALSE)</f>
        <v>#N/A</v>
      </c>
    </row>
    <row r="41" spans="1:25" x14ac:dyDescent="0.25">
      <c r="A41" s="10">
        <v>1300</v>
      </c>
      <c r="B41" s="5" t="s">
        <v>53</v>
      </c>
      <c r="C41" s="6" t="s">
        <v>1</v>
      </c>
      <c r="D41" s="5" t="s">
        <v>17</v>
      </c>
      <c r="E41" s="6" t="s">
        <v>1</v>
      </c>
      <c r="F41" s="33" t="s">
        <v>22</v>
      </c>
      <c r="G41" s="24"/>
      <c r="H41" s="1" t="s">
        <v>1</v>
      </c>
      <c r="I41" s="7" t="s">
        <v>1</v>
      </c>
      <c r="J41" s="6" t="s">
        <v>1</v>
      </c>
      <c r="K41" s="5" t="s">
        <v>1</v>
      </c>
      <c r="L41" s="6" t="s">
        <v>1</v>
      </c>
      <c r="M41" s="5" t="s">
        <v>19</v>
      </c>
      <c r="N41" s="6" t="s">
        <v>1</v>
      </c>
      <c r="O41" s="33" t="s">
        <v>1</v>
      </c>
      <c r="P41" s="24"/>
      <c r="Q41" s="6" t="s">
        <v>1</v>
      </c>
      <c r="R41" s="5" t="s">
        <v>1</v>
      </c>
      <c r="S41" s="1" t="s">
        <v>1</v>
      </c>
      <c r="T41" s="34" t="s">
        <v>20</v>
      </c>
      <c r="U41" s="24"/>
      <c r="X41" t="e">
        <f>VLOOKUP(A41,'Ark1'!A:A,1,FALSE)</f>
        <v>#N/A</v>
      </c>
      <c r="Y41" t="e">
        <f>VLOOKUP(A41,'Ark1'!A:B,2,FALSE)</f>
        <v>#N/A</v>
      </c>
    </row>
    <row r="42" spans="1:25" x14ac:dyDescent="0.25">
      <c r="A42" s="12">
        <v>1310</v>
      </c>
      <c r="B42" s="9" t="s">
        <v>54</v>
      </c>
      <c r="C42" s="1" t="s">
        <v>1</v>
      </c>
      <c r="D42" s="9" t="s">
        <v>17</v>
      </c>
      <c r="E42" s="1" t="s">
        <v>1</v>
      </c>
      <c r="F42" s="36" t="s">
        <v>27</v>
      </c>
      <c r="G42" s="24"/>
      <c r="H42" s="1" t="s">
        <v>1</v>
      </c>
      <c r="I42" s="9" t="s">
        <v>28</v>
      </c>
      <c r="J42" s="1" t="s">
        <v>1</v>
      </c>
      <c r="K42" s="9" t="s">
        <v>1</v>
      </c>
      <c r="L42" s="1" t="s">
        <v>1</v>
      </c>
      <c r="M42" s="9" t="s">
        <v>19</v>
      </c>
      <c r="N42" s="1" t="s">
        <v>1</v>
      </c>
      <c r="O42" s="36" t="s">
        <v>1</v>
      </c>
      <c r="P42" s="24"/>
      <c r="Q42" s="1" t="s">
        <v>1</v>
      </c>
      <c r="R42" s="9" t="s">
        <v>1</v>
      </c>
      <c r="S42" s="1" t="s">
        <v>1</v>
      </c>
      <c r="T42" s="36" t="s">
        <v>1</v>
      </c>
      <c r="U42" s="24"/>
      <c r="X42" t="e">
        <f>VLOOKUP(A42,'Ark1'!A:A,1,FALSE)</f>
        <v>#N/A</v>
      </c>
      <c r="Y42" t="e">
        <f>VLOOKUP(A42,'Ark1'!A:B,2,FALSE)</f>
        <v>#N/A</v>
      </c>
    </row>
    <row r="43" spans="1:25" x14ac:dyDescent="0.25">
      <c r="A43" s="10">
        <v>1397</v>
      </c>
      <c r="B43" s="5" t="s">
        <v>55</v>
      </c>
      <c r="C43" s="6" t="s">
        <v>1</v>
      </c>
      <c r="D43" s="5" t="s">
        <v>17</v>
      </c>
      <c r="E43" s="6" t="s">
        <v>1</v>
      </c>
      <c r="F43" s="33" t="s">
        <v>36</v>
      </c>
      <c r="G43" s="24"/>
      <c r="H43" s="1" t="s">
        <v>1</v>
      </c>
      <c r="I43" s="7" t="s">
        <v>1</v>
      </c>
      <c r="J43" s="6" t="s">
        <v>1</v>
      </c>
      <c r="K43" s="5" t="s">
        <v>56</v>
      </c>
      <c r="L43" s="6" t="s">
        <v>1</v>
      </c>
      <c r="M43" s="5" t="s">
        <v>19</v>
      </c>
      <c r="N43" s="6" t="s">
        <v>1</v>
      </c>
      <c r="O43" s="33" t="s">
        <v>1</v>
      </c>
      <c r="P43" s="24"/>
      <c r="Q43" s="6" t="s">
        <v>1</v>
      </c>
      <c r="R43" s="5" t="s">
        <v>1</v>
      </c>
      <c r="S43" s="1" t="s">
        <v>1</v>
      </c>
      <c r="T43" s="34" t="s">
        <v>20</v>
      </c>
      <c r="U43" s="24"/>
      <c r="X43" t="e">
        <f>VLOOKUP(A43,'Ark1'!A:A,1,FALSE)</f>
        <v>#N/A</v>
      </c>
      <c r="Y43" t="e">
        <f>VLOOKUP(A43,'Ark1'!A:B,2,FALSE)</f>
        <v>#N/A</v>
      </c>
    </row>
    <row r="44" spans="1:25" x14ac:dyDescent="0.25">
      <c r="A44" s="11">
        <v>1398</v>
      </c>
      <c r="B44" s="8" t="s">
        <v>57</v>
      </c>
      <c r="C44" s="6" t="s">
        <v>1</v>
      </c>
      <c r="D44" s="8" t="s">
        <v>17</v>
      </c>
      <c r="E44" s="6" t="s">
        <v>1</v>
      </c>
      <c r="F44" s="35" t="s">
        <v>36</v>
      </c>
      <c r="G44" s="24"/>
      <c r="H44" s="1" t="s">
        <v>1</v>
      </c>
      <c r="I44" s="9" t="s">
        <v>1</v>
      </c>
      <c r="J44" s="6" t="s">
        <v>1</v>
      </c>
      <c r="K44" s="8" t="s">
        <v>58</v>
      </c>
      <c r="L44" s="6" t="s">
        <v>1</v>
      </c>
      <c r="M44" s="8" t="s">
        <v>19</v>
      </c>
      <c r="N44" s="6" t="s">
        <v>1</v>
      </c>
      <c r="O44" s="35" t="s">
        <v>1</v>
      </c>
      <c r="P44" s="24"/>
      <c r="Q44" s="6" t="s">
        <v>1</v>
      </c>
      <c r="R44" s="8" t="s">
        <v>1</v>
      </c>
      <c r="S44" s="1" t="s">
        <v>1</v>
      </c>
      <c r="T44" s="36" t="s">
        <v>20</v>
      </c>
      <c r="U44" s="24"/>
      <c r="X44" t="e">
        <f>VLOOKUP(A44,'Ark1'!A:A,1,FALSE)</f>
        <v>#N/A</v>
      </c>
      <c r="Y44" t="e">
        <f>VLOOKUP(A44,'Ark1'!A:B,2,FALSE)</f>
        <v>#N/A</v>
      </c>
    </row>
    <row r="45" spans="1:25" x14ac:dyDescent="0.25">
      <c r="A45" s="1" t="s">
        <v>1</v>
      </c>
      <c r="B45" s="1" t="s">
        <v>1</v>
      </c>
      <c r="C45" s="1" t="s">
        <v>1</v>
      </c>
      <c r="D45" s="1" t="s">
        <v>1</v>
      </c>
      <c r="E45" s="1" t="s">
        <v>1</v>
      </c>
      <c r="F45" s="32" t="s">
        <v>1</v>
      </c>
      <c r="G45" s="24"/>
      <c r="H45" s="1" t="s">
        <v>1</v>
      </c>
      <c r="I45" s="1" t="s">
        <v>1</v>
      </c>
      <c r="J45" s="1" t="s">
        <v>1</v>
      </c>
      <c r="K45" s="1" t="s">
        <v>1</v>
      </c>
      <c r="L45" s="1" t="s">
        <v>1</v>
      </c>
      <c r="M45" s="1" t="s">
        <v>1</v>
      </c>
      <c r="N45" s="1" t="s">
        <v>1</v>
      </c>
      <c r="O45" s="32" t="s">
        <v>1</v>
      </c>
      <c r="P45" s="24"/>
      <c r="Q45" s="1" t="s">
        <v>1</v>
      </c>
      <c r="R45" s="1" t="s">
        <v>1</v>
      </c>
      <c r="S45" s="1" t="s">
        <v>1</v>
      </c>
      <c r="T45" s="32" t="s">
        <v>1</v>
      </c>
      <c r="U45" s="24"/>
      <c r="X45" t="e">
        <f>VLOOKUP(A45,'Ark1'!A:A,1,FALSE)</f>
        <v>#N/A</v>
      </c>
      <c r="Y45" t="e">
        <f>VLOOKUP(A45,'Ark1'!A:B,2,FALSE)</f>
        <v>#N/A</v>
      </c>
    </row>
    <row r="46" spans="1:25" x14ac:dyDescent="0.25">
      <c r="A46" s="10">
        <v>1400</v>
      </c>
      <c r="B46" s="5" t="s">
        <v>59</v>
      </c>
      <c r="C46" s="6" t="s">
        <v>1</v>
      </c>
      <c r="D46" s="5" t="s">
        <v>17</v>
      </c>
      <c r="E46" s="6" t="s">
        <v>1</v>
      </c>
      <c r="F46" s="33" t="s">
        <v>22</v>
      </c>
      <c r="G46" s="24"/>
      <c r="H46" s="1" t="s">
        <v>1</v>
      </c>
      <c r="I46" s="7" t="s">
        <v>1</v>
      </c>
      <c r="J46" s="6" t="s">
        <v>1</v>
      </c>
      <c r="K46" s="5" t="s">
        <v>1</v>
      </c>
      <c r="L46" s="6" t="s">
        <v>1</v>
      </c>
      <c r="M46" s="5" t="s">
        <v>19</v>
      </c>
      <c r="N46" s="6" t="s">
        <v>1</v>
      </c>
      <c r="O46" s="33" t="s">
        <v>1</v>
      </c>
      <c r="P46" s="24"/>
      <c r="Q46" s="6" t="s">
        <v>1</v>
      </c>
      <c r="R46" s="5" t="s">
        <v>1</v>
      </c>
      <c r="S46" s="1" t="s">
        <v>1</v>
      </c>
      <c r="T46" s="34" t="s">
        <v>20</v>
      </c>
      <c r="U46" s="24"/>
      <c r="X46" t="e">
        <f>VLOOKUP(A46,'Ark1'!A:A,1,FALSE)</f>
        <v>#N/A</v>
      </c>
      <c r="Y46" t="e">
        <f>VLOOKUP(A46,'Ark1'!A:B,2,FALSE)</f>
        <v>#N/A</v>
      </c>
    </row>
    <row r="47" spans="1:25" x14ac:dyDescent="0.25">
      <c r="A47" s="11">
        <v>1401</v>
      </c>
      <c r="B47" s="8" t="s">
        <v>60</v>
      </c>
      <c r="C47" s="6" t="s">
        <v>1</v>
      </c>
      <c r="D47" s="8" t="s">
        <v>17</v>
      </c>
      <c r="E47" s="6" t="s">
        <v>1</v>
      </c>
      <c r="F47" s="35" t="s">
        <v>22</v>
      </c>
      <c r="G47" s="24"/>
      <c r="H47" s="1" t="s">
        <v>1</v>
      </c>
      <c r="I47" s="9" t="s">
        <v>1</v>
      </c>
      <c r="J47" s="6" t="s">
        <v>1</v>
      </c>
      <c r="K47" s="8" t="s">
        <v>1</v>
      </c>
      <c r="L47" s="6" t="s">
        <v>1</v>
      </c>
      <c r="M47" s="8" t="s">
        <v>19</v>
      </c>
      <c r="N47" s="6" t="s">
        <v>1</v>
      </c>
      <c r="O47" s="35" t="s">
        <v>1</v>
      </c>
      <c r="P47" s="24"/>
      <c r="Q47" s="6" t="s">
        <v>1</v>
      </c>
      <c r="R47" s="8" t="s">
        <v>1</v>
      </c>
      <c r="S47" s="1" t="s">
        <v>1</v>
      </c>
      <c r="T47" s="36" t="s">
        <v>20</v>
      </c>
      <c r="U47" s="24"/>
      <c r="X47" t="e">
        <f>VLOOKUP(A47,'Ark1'!A:A,1,FALSE)</f>
        <v>#N/A</v>
      </c>
      <c r="Y47" t="e">
        <f>VLOOKUP(A47,'Ark1'!A:B,2,FALSE)</f>
        <v>#N/A</v>
      </c>
    </row>
    <row r="48" spans="1:25" x14ac:dyDescent="0.25">
      <c r="A48" s="13">
        <v>1410</v>
      </c>
      <c r="B48" s="7" t="s">
        <v>61</v>
      </c>
      <c r="C48" s="1" t="s">
        <v>1</v>
      </c>
      <c r="D48" s="7" t="s">
        <v>17</v>
      </c>
      <c r="E48" s="1" t="s">
        <v>1</v>
      </c>
      <c r="F48" s="34" t="s">
        <v>27</v>
      </c>
      <c r="G48" s="24"/>
      <c r="H48" s="1" t="s">
        <v>1</v>
      </c>
      <c r="I48" s="7" t="s">
        <v>28</v>
      </c>
      <c r="J48" s="1" t="s">
        <v>1</v>
      </c>
      <c r="K48" s="7" t="s">
        <v>1</v>
      </c>
      <c r="L48" s="1" t="s">
        <v>1</v>
      </c>
      <c r="M48" s="7" t="s">
        <v>19</v>
      </c>
      <c r="N48" s="1" t="s">
        <v>1</v>
      </c>
      <c r="O48" s="34" t="s">
        <v>1</v>
      </c>
      <c r="P48" s="24"/>
      <c r="Q48" s="1" t="s">
        <v>1</v>
      </c>
      <c r="R48" s="7" t="s">
        <v>1</v>
      </c>
      <c r="S48" s="1" t="s">
        <v>1</v>
      </c>
      <c r="T48" s="34" t="s">
        <v>1</v>
      </c>
      <c r="U48" s="24"/>
      <c r="X48">
        <f>VLOOKUP(A48,'Ark1'!A:A,1,FALSE)</f>
        <v>1410</v>
      </c>
      <c r="Y48" t="str">
        <f>VLOOKUP(A48,'Ark1'!A:B,2,FALSE)</f>
        <v>Råvarulager</v>
      </c>
    </row>
    <row r="49" spans="1:25" x14ac:dyDescent="0.25">
      <c r="A49" s="12">
        <v>1411</v>
      </c>
      <c r="B49" s="9" t="s">
        <v>62</v>
      </c>
      <c r="C49" s="1" t="s">
        <v>1</v>
      </c>
      <c r="D49" s="9" t="s">
        <v>17</v>
      </c>
      <c r="E49" s="1" t="s">
        <v>1</v>
      </c>
      <c r="F49" s="36" t="s">
        <v>27</v>
      </c>
      <c r="G49" s="24"/>
      <c r="H49" s="1" t="s">
        <v>1</v>
      </c>
      <c r="I49" s="9" t="s">
        <v>28</v>
      </c>
      <c r="J49" s="1" t="s">
        <v>1</v>
      </c>
      <c r="K49" s="9" t="s">
        <v>1</v>
      </c>
      <c r="L49" s="1" t="s">
        <v>1</v>
      </c>
      <c r="M49" s="9" t="s">
        <v>19</v>
      </c>
      <c r="N49" s="1" t="s">
        <v>1</v>
      </c>
      <c r="O49" s="36" t="s">
        <v>1</v>
      </c>
      <c r="P49" s="24"/>
      <c r="Q49" s="1" t="s">
        <v>1</v>
      </c>
      <c r="R49" s="9" t="s">
        <v>1</v>
      </c>
      <c r="S49" s="1" t="s">
        <v>1</v>
      </c>
      <c r="T49" s="36" t="s">
        <v>1</v>
      </c>
      <c r="U49" s="24"/>
      <c r="X49" t="e">
        <f>VLOOKUP(A49,'Ark1'!A:A,1,FALSE)</f>
        <v>#N/A</v>
      </c>
      <c r="Y49" t="e">
        <f>VLOOKUP(A49,'Ark1'!A:B,2,FALSE)</f>
        <v>#N/A</v>
      </c>
    </row>
    <row r="50" spans="1:25" x14ac:dyDescent="0.25">
      <c r="A50" s="10">
        <v>1430</v>
      </c>
      <c r="B50" s="5" t="s">
        <v>63</v>
      </c>
      <c r="C50" s="6" t="s">
        <v>1</v>
      </c>
      <c r="D50" s="5" t="s">
        <v>17</v>
      </c>
      <c r="E50" s="6" t="s">
        <v>1</v>
      </c>
      <c r="F50" s="33" t="s">
        <v>22</v>
      </c>
      <c r="G50" s="24"/>
      <c r="H50" s="1" t="s">
        <v>1</v>
      </c>
      <c r="I50" s="7" t="s">
        <v>1</v>
      </c>
      <c r="J50" s="6" t="s">
        <v>1</v>
      </c>
      <c r="K50" s="5" t="s">
        <v>1</v>
      </c>
      <c r="L50" s="6" t="s">
        <v>1</v>
      </c>
      <c r="M50" s="5" t="s">
        <v>19</v>
      </c>
      <c r="N50" s="6" t="s">
        <v>1</v>
      </c>
      <c r="O50" s="33" t="s">
        <v>1</v>
      </c>
      <c r="P50" s="24"/>
      <c r="Q50" s="6" t="s">
        <v>1</v>
      </c>
      <c r="R50" s="5" t="s">
        <v>1</v>
      </c>
      <c r="S50" s="1" t="s">
        <v>1</v>
      </c>
      <c r="T50" s="34" t="s">
        <v>20</v>
      </c>
      <c r="U50" s="24"/>
      <c r="X50" t="e">
        <f>VLOOKUP(A50,'Ark1'!A:A,1,FALSE)</f>
        <v>#N/A</v>
      </c>
      <c r="Y50" t="e">
        <f>VLOOKUP(A50,'Ark1'!A:B,2,FALSE)</f>
        <v>#N/A</v>
      </c>
    </row>
    <row r="51" spans="1:25" x14ac:dyDescent="0.25">
      <c r="A51" s="11">
        <v>1431</v>
      </c>
      <c r="B51" s="8" t="s">
        <v>64</v>
      </c>
      <c r="C51" s="6" t="s">
        <v>1</v>
      </c>
      <c r="D51" s="8" t="s">
        <v>17</v>
      </c>
      <c r="E51" s="6" t="s">
        <v>1</v>
      </c>
      <c r="F51" s="35" t="s">
        <v>22</v>
      </c>
      <c r="G51" s="24"/>
      <c r="H51" s="1" t="s">
        <v>1</v>
      </c>
      <c r="I51" s="9" t="s">
        <v>1</v>
      </c>
      <c r="J51" s="6" t="s">
        <v>1</v>
      </c>
      <c r="K51" s="8" t="s">
        <v>1</v>
      </c>
      <c r="L51" s="6" t="s">
        <v>1</v>
      </c>
      <c r="M51" s="8" t="s">
        <v>19</v>
      </c>
      <c r="N51" s="6" t="s">
        <v>1</v>
      </c>
      <c r="O51" s="35" t="s">
        <v>1</v>
      </c>
      <c r="P51" s="24"/>
      <c r="Q51" s="6" t="s">
        <v>1</v>
      </c>
      <c r="R51" s="8" t="s">
        <v>1</v>
      </c>
      <c r="S51" s="1" t="s">
        <v>1</v>
      </c>
      <c r="T51" s="36" t="s">
        <v>20</v>
      </c>
      <c r="U51" s="24"/>
      <c r="X51" t="e">
        <f>VLOOKUP(A51,'Ark1'!A:A,1,FALSE)</f>
        <v>#N/A</v>
      </c>
      <c r="Y51" t="e">
        <f>VLOOKUP(A51,'Ark1'!A:B,2,FALSE)</f>
        <v>#N/A</v>
      </c>
    </row>
    <row r="52" spans="1:25" x14ac:dyDescent="0.25">
      <c r="A52" s="13">
        <v>1432</v>
      </c>
      <c r="B52" s="7" t="s">
        <v>65</v>
      </c>
      <c r="C52" s="1" t="s">
        <v>1</v>
      </c>
      <c r="D52" s="7" t="s">
        <v>17</v>
      </c>
      <c r="E52" s="1" t="s">
        <v>1</v>
      </c>
      <c r="F52" s="34" t="s">
        <v>27</v>
      </c>
      <c r="G52" s="24"/>
      <c r="H52" s="1" t="s">
        <v>1</v>
      </c>
      <c r="I52" s="7" t="s">
        <v>28</v>
      </c>
      <c r="J52" s="1" t="s">
        <v>1</v>
      </c>
      <c r="K52" s="7" t="s">
        <v>1</v>
      </c>
      <c r="L52" s="1" t="s">
        <v>1</v>
      </c>
      <c r="M52" s="7" t="s">
        <v>19</v>
      </c>
      <c r="N52" s="1" t="s">
        <v>1</v>
      </c>
      <c r="O52" s="34" t="s">
        <v>1</v>
      </c>
      <c r="P52" s="24"/>
      <c r="Q52" s="1" t="s">
        <v>1</v>
      </c>
      <c r="R52" s="7" t="s">
        <v>1</v>
      </c>
      <c r="S52" s="1" t="s">
        <v>1</v>
      </c>
      <c r="T52" s="34" t="s">
        <v>1</v>
      </c>
      <c r="U52" s="24"/>
      <c r="X52" t="e">
        <f>VLOOKUP(A52,'Ark1'!A:A,1,FALSE)</f>
        <v>#N/A</v>
      </c>
      <c r="Y52" t="e">
        <f>VLOOKUP(A52,'Ark1'!A:B,2,FALSE)</f>
        <v>#N/A</v>
      </c>
    </row>
    <row r="53" spans="1:25" x14ac:dyDescent="0.25">
      <c r="A53" s="12">
        <v>1433</v>
      </c>
      <c r="B53" s="9" t="s">
        <v>66</v>
      </c>
      <c r="C53" s="1" t="s">
        <v>1</v>
      </c>
      <c r="D53" s="9" t="s">
        <v>17</v>
      </c>
      <c r="E53" s="1" t="s">
        <v>1</v>
      </c>
      <c r="F53" s="36" t="s">
        <v>27</v>
      </c>
      <c r="G53" s="24"/>
      <c r="H53" s="1" t="s">
        <v>1</v>
      </c>
      <c r="I53" s="9" t="s">
        <v>28</v>
      </c>
      <c r="J53" s="1" t="s">
        <v>1</v>
      </c>
      <c r="K53" s="9" t="s">
        <v>1</v>
      </c>
      <c r="L53" s="1" t="s">
        <v>1</v>
      </c>
      <c r="M53" s="9" t="s">
        <v>19</v>
      </c>
      <c r="N53" s="1" t="s">
        <v>1</v>
      </c>
      <c r="O53" s="36" t="s">
        <v>1</v>
      </c>
      <c r="P53" s="24"/>
      <c r="Q53" s="1" t="s">
        <v>1</v>
      </c>
      <c r="R53" s="9" t="s">
        <v>1</v>
      </c>
      <c r="S53" s="1" t="s">
        <v>1</v>
      </c>
      <c r="T53" s="36" t="s">
        <v>1</v>
      </c>
      <c r="U53" s="24"/>
      <c r="X53" t="e">
        <f>VLOOKUP(A53,'Ark1'!A:A,1,FALSE)</f>
        <v>#N/A</v>
      </c>
      <c r="Y53" t="e">
        <f>VLOOKUP(A53,'Ark1'!A:B,2,FALSE)</f>
        <v>#N/A</v>
      </c>
    </row>
    <row r="54" spans="1:25" x14ac:dyDescent="0.25">
      <c r="A54" s="10">
        <v>1434</v>
      </c>
      <c r="B54" s="5" t="s">
        <v>67</v>
      </c>
      <c r="C54" s="6" t="s">
        <v>1</v>
      </c>
      <c r="D54" s="5" t="s">
        <v>17</v>
      </c>
      <c r="E54" s="6" t="s">
        <v>1</v>
      </c>
      <c r="F54" s="33" t="s">
        <v>36</v>
      </c>
      <c r="G54" s="24"/>
      <c r="H54" s="1" t="s">
        <v>1</v>
      </c>
      <c r="I54" s="7" t="s">
        <v>1</v>
      </c>
      <c r="J54" s="6" t="s">
        <v>1</v>
      </c>
      <c r="K54" s="5" t="s">
        <v>68</v>
      </c>
      <c r="L54" s="6" t="s">
        <v>1</v>
      </c>
      <c r="M54" s="5" t="s">
        <v>19</v>
      </c>
      <c r="N54" s="6" t="s">
        <v>1</v>
      </c>
      <c r="O54" s="33" t="s">
        <v>1</v>
      </c>
      <c r="P54" s="24"/>
      <c r="Q54" s="6" t="s">
        <v>1</v>
      </c>
      <c r="R54" s="5" t="s">
        <v>1</v>
      </c>
      <c r="S54" s="1" t="s">
        <v>1</v>
      </c>
      <c r="T54" s="34" t="s">
        <v>20</v>
      </c>
      <c r="U54" s="24"/>
      <c r="X54" t="e">
        <f>VLOOKUP(A54,'Ark1'!A:A,1,FALSE)</f>
        <v>#N/A</v>
      </c>
      <c r="Y54" t="e">
        <f>VLOOKUP(A54,'Ark1'!A:B,2,FALSE)</f>
        <v>#N/A</v>
      </c>
    </row>
    <row r="55" spans="1:25" x14ac:dyDescent="0.25">
      <c r="A55" s="11">
        <v>1435</v>
      </c>
      <c r="B55" s="8" t="s">
        <v>69</v>
      </c>
      <c r="C55" s="6" t="s">
        <v>1</v>
      </c>
      <c r="D55" s="8" t="s">
        <v>17</v>
      </c>
      <c r="E55" s="6" t="s">
        <v>1</v>
      </c>
      <c r="F55" s="35" t="s">
        <v>22</v>
      </c>
      <c r="G55" s="24"/>
      <c r="H55" s="1" t="s">
        <v>1</v>
      </c>
      <c r="I55" s="9" t="s">
        <v>1</v>
      </c>
      <c r="J55" s="6" t="s">
        <v>1</v>
      </c>
      <c r="K55" s="8" t="s">
        <v>1</v>
      </c>
      <c r="L55" s="6" t="s">
        <v>1</v>
      </c>
      <c r="M55" s="8" t="s">
        <v>19</v>
      </c>
      <c r="N55" s="6" t="s">
        <v>1</v>
      </c>
      <c r="O55" s="35" t="s">
        <v>1</v>
      </c>
      <c r="P55" s="24"/>
      <c r="Q55" s="6" t="s">
        <v>1</v>
      </c>
      <c r="R55" s="8" t="s">
        <v>1</v>
      </c>
      <c r="S55" s="1" t="s">
        <v>1</v>
      </c>
      <c r="T55" s="36" t="s">
        <v>20</v>
      </c>
      <c r="U55" s="24"/>
      <c r="X55" t="e">
        <f>VLOOKUP(A55,'Ark1'!A:A,1,FALSE)</f>
        <v>#N/A</v>
      </c>
      <c r="Y55" t="e">
        <f>VLOOKUP(A55,'Ark1'!A:B,2,FALSE)</f>
        <v>#N/A</v>
      </c>
    </row>
    <row r="56" spans="1:25" x14ac:dyDescent="0.25">
      <c r="A56" s="13">
        <v>1436</v>
      </c>
      <c r="B56" s="7" t="s">
        <v>70</v>
      </c>
      <c r="C56" s="1" t="s">
        <v>1</v>
      </c>
      <c r="D56" s="7" t="s">
        <v>17</v>
      </c>
      <c r="E56" s="1" t="s">
        <v>1</v>
      </c>
      <c r="F56" s="34" t="s">
        <v>27</v>
      </c>
      <c r="G56" s="24"/>
      <c r="H56" s="1" t="s">
        <v>1</v>
      </c>
      <c r="I56" s="7" t="s">
        <v>28</v>
      </c>
      <c r="J56" s="1" t="s">
        <v>1</v>
      </c>
      <c r="K56" s="7" t="s">
        <v>1</v>
      </c>
      <c r="L56" s="1" t="s">
        <v>1</v>
      </c>
      <c r="M56" s="7" t="s">
        <v>19</v>
      </c>
      <c r="N56" s="1" t="s">
        <v>1</v>
      </c>
      <c r="O56" s="34" t="s">
        <v>1</v>
      </c>
      <c r="P56" s="24"/>
      <c r="Q56" s="1" t="s">
        <v>1</v>
      </c>
      <c r="R56" s="7" t="s">
        <v>1</v>
      </c>
      <c r="S56" s="1" t="s">
        <v>1</v>
      </c>
      <c r="T56" s="34" t="s">
        <v>1</v>
      </c>
      <c r="U56" s="24"/>
      <c r="X56" t="e">
        <f>VLOOKUP(A56,'Ark1'!A:A,1,FALSE)</f>
        <v>#N/A</v>
      </c>
      <c r="Y56" t="e">
        <f>VLOOKUP(A56,'Ark1'!A:B,2,FALSE)</f>
        <v>#N/A</v>
      </c>
    </row>
    <row r="57" spans="1:25" x14ac:dyDescent="0.25">
      <c r="A57" s="12">
        <v>1437</v>
      </c>
      <c r="B57" s="9" t="s">
        <v>71</v>
      </c>
      <c r="C57" s="1" t="s">
        <v>1</v>
      </c>
      <c r="D57" s="9" t="s">
        <v>17</v>
      </c>
      <c r="E57" s="1" t="s">
        <v>1</v>
      </c>
      <c r="F57" s="36" t="s">
        <v>27</v>
      </c>
      <c r="G57" s="24"/>
      <c r="H57" s="1" t="s">
        <v>1</v>
      </c>
      <c r="I57" s="9" t="s">
        <v>28</v>
      </c>
      <c r="J57" s="1" t="s">
        <v>1</v>
      </c>
      <c r="K57" s="9" t="s">
        <v>1</v>
      </c>
      <c r="L57" s="1" t="s">
        <v>1</v>
      </c>
      <c r="M57" s="9" t="s">
        <v>19</v>
      </c>
      <c r="N57" s="1" t="s">
        <v>1</v>
      </c>
      <c r="O57" s="36" t="s">
        <v>1</v>
      </c>
      <c r="P57" s="24"/>
      <c r="Q57" s="1" t="s">
        <v>1</v>
      </c>
      <c r="R57" s="9" t="s">
        <v>1</v>
      </c>
      <c r="S57" s="1" t="s">
        <v>1</v>
      </c>
      <c r="T57" s="36" t="s">
        <v>1</v>
      </c>
      <c r="U57" s="24"/>
      <c r="X57" t="e">
        <f>VLOOKUP(A57,'Ark1'!A:A,1,FALSE)</f>
        <v>#N/A</v>
      </c>
      <c r="Y57" t="e">
        <f>VLOOKUP(A57,'Ark1'!A:B,2,FALSE)</f>
        <v>#N/A</v>
      </c>
    </row>
    <row r="58" spans="1:25" x14ac:dyDescent="0.25">
      <c r="A58" s="10">
        <v>1438</v>
      </c>
      <c r="B58" s="5" t="s">
        <v>72</v>
      </c>
      <c r="C58" s="6" t="s">
        <v>1</v>
      </c>
      <c r="D58" s="5" t="s">
        <v>17</v>
      </c>
      <c r="E58" s="6" t="s">
        <v>1</v>
      </c>
      <c r="F58" s="33" t="s">
        <v>36</v>
      </c>
      <c r="G58" s="24"/>
      <c r="H58" s="1" t="s">
        <v>1</v>
      </c>
      <c r="I58" s="7" t="s">
        <v>1</v>
      </c>
      <c r="J58" s="6" t="s">
        <v>1</v>
      </c>
      <c r="K58" s="5" t="s">
        <v>73</v>
      </c>
      <c r="L58" s="6" t="s">
        <v>1</v>
      </c>
      <c r="M58" s="5" t="s">
        <v>19</v>
      </c>
      <c r="N58" s="6" t="s">
        <v>1</v>
      </c>
      <c r="O58" s="33" t="s">
        <v>1</v>
      </c>
      <c r="P58" s="24"/>
      <c r="Q58" s="6" t="s">
        <v>1</v>
      </c>
      <c r="R58" s="5" t="s">
        <v>1</v>
      </c>
      <c r="S58" s="1" t="s">
        <v>1</v>
      </c>
      <c r="T58" s="34" t="s">
        <v>20</v>
      </c>
      <c r="U58" s="24"/>
      <c r="X58" t="e">
        <f>VLOOKUP(A58,'Ark1'!A:A,1,FALSE)</f>
        <v>#N/A</v>
      </c>
      <c r="Y58" t="e">
        <f>VLOOKUP(A58,'Ark1'!A:B,2,FALSE)</f>
        <v>#N/A</v>
      </c>
    </row>
    <row r="59" spans="1:25" x14ac:dyDescent="0.25">
      <c r="A59" s="12">
        <v>1440</v>
      </c>
      <c r="B59" s="9" t="s">
        <v>74</v>
      </c>
      <c r="C59" s="1" t="s">
        <v>1</v>
      </c>
      <c r="D59" s="9" t="s">
        <v>17</v>
      </c>
      <c r="E59" s="1" t="s">
        <v>1</v>
      </c>
      <c r="F59" s="36" t="s">
        <v>27</v>
      </c>
      <c r="G59" s="24"/>
      <c r="H59" s="1" t="s">
        <v>1</v>
      </c>
      <c r="I59" s="9" t="s">
        <v>28</v>
      </c>
      <c r="J59" s="1" t="s">
        <v>1</v>
      </c>
      <c r="K59" s="9" t="s">
        <v>1</v>
      </c>
      <c r="L59" s="1" t="s">
        <v>1</v>
      </c>
      <c r="M59" s="9" t="s">
        <v>19</v>
      </c>
      <c r="N59" s="1" t="s">
        <v>1</v>
      </c>
      <c r="O59" s="36" t="s">
        <v>1</v>
      </c>
      <c r="P59" s="24"/>
      <c r="Q59" s="1" t="s">
        <v>1</v>
      </c>
      <c r="R59" s="9" t="s">
        <v>1</v>
      </c>
      <c r="S59" s="1" t="s">
        <v>1</v>
      </c>
      <c r="T59" s="36" t="s">
        <v>1</v>
      </c>
      <c r="U59" s="24"/>
      <c r="X59" t="e">
        <f>VLOOKUP(A59,'Ark1'!A:A,1,FALSE)</f>
        <v>#N/A</v>
      </c>
      <c r="Y59" t="e">
        <f>VLOOKUP(A59,'Ark1'!A:B,2,FALSE)</f>
        <v>#N/A</v>
      </c>
    </row>
    <row r="60" spans="1:25" x14ac:dyDescent="0.25">
      <c r="A60" s="10">
        <v>1449</v>
      </c>
      <c r="B60" s="5" t="s">
        <v>75</v>
      </c>
      <c r="C60" s="6" t="s">
        <v>1</v>
      </c>
      <c r="D60" s="5" t="s">
        <v>17</v>
      </c>
      <c r="E60" s="6" t="s">
        <v>1</v>
      </c>
      <c r="F60" s="33" t="s">
        <v>36</v>
      </c>
      <c r="G60" s="24"/>
      <c r="H60" s="1" t="s">
        <v>1</v>
      </c>
      <c r="I60" s="7" t="s">
        <v>1</v>
      </c>
      <c r="J60" s="6" t="s">
        <v>1</v>
      </c>
      <c r="K60" s="5" t="s">
        <v>76</v>
      </c>
      <c r="L60" s="6" t="s">
        <v>1</v>
      </c>
      <c r="M60" s="5" t="s">
        <v>19</v>
      </c>
      <c r="N60" s="6" t="s">
        <v>1</v>
      </c>
      <c r="O60" s="33" t="s">
        <v>1</v>
      </c>
      <c r="P60" s="24"/>
      <c r="Q60" s="6" t="s">
        <v>1</v>
      </c>
      <c r="R60" s="5" t="s">
        <v>1</v>
      </c>
      <c r="S60" s="1" t="s">
        <v>1</v>
      </c>
      <c r="T60" s="34" t="s">
        <v>20</v>
      </c>
      <c r="U60" s="24"/>
      <c r="X60" t="e">
        <f>VLOOKUP(A60,'Ark1'!A:A,1,FALSE)</f>
        <v>#N/A</v>
      </c>
      <c r="Y60" t="e">
        <f>VLOOKUP(A60,'Ark1'!A:B,2,FALSE)</f>
        <v>#N/A</v>
      </c>
    </row>
    <row r="61" spans="1:25" x14ac:dyDescent="0.25">
      <c r="A61" s="12">
        <v>1450</v>
      </c>
      <c r="B61" s="9" t="s">
        <v>77</v>
      </c>
      <c r="C61" s="1" t="s">
        <v>1</v>
      </c>
      <c r="D61" s="9" t="s">
        <v>17</v>
      </c>
      <c r="E61" s="1" t="s">
        <v>1</v>
      </c>
      <c r="F61" s="36" t="s">
        <v>27</v>
      </c>
      <c r="G61" s="24"/>
      <c r="H61" s="1" t="s">
        <v>1</v>
      </c>
      <c r="I61" s="9" t="s">
        <v>28</v>
      </c>
      <c r="J61" s="1" t="s">
        <v>1</v>
      </c>
      <c r="K61" s="9" t="s">
        <v>1</v>
      </c>
      <c r="L61" s="1" t="s">
        <v>1</v>
      </c>
      <c r="M61" s="9" t="s">
        <v>19</v>
      </c>
      <c r="N61" s="1" t="s">
        <v>1</v>
      </c>
      <c r="O61" s="36" t="s">
        <v>1</v>
      </c>
      <c r="P61" s="24"/>
      <c r="Q61" s="1" t="s">
        <v>1</v>
      </c>
      <c r="R61" s="9" t="s">
        <v>1</v>
      </c>
      <c r="S61" s="1" t="s">
        <v>1</v>
      </c>
      <c r="T61" s="36" t="s">
        <v>1</v>
      </c>
      <c r="U61" s="24"/>
      <c r="X61">
        <f>VLOOKUP(A61,'Ark1'!A:A,1,FALSE)</f>
        <v>1450</v>
      </c>
      <c r="Y61" t="str">
        <f>VLOOKUP(A61,'Ark1'!A:B,2,FALSE)</f>
        <v>Emballage</v>
      </c>
    </row>
    <row r="62" spans="1:25" x14ac:dyDescent="0.25">
      <c r="A62" s="13">
        <v>1451</v>
      </c>
      <c r="B62" s="7" t="s">
        <v>78</v>
      </c>
      <c r="C62" s="1" t="s">
        <v>1</v>
      </c>
      <c r="D62" s="7" t="s">
        <v>17</v>
      </c>
      <c r="E62" s="1" t="s">
        <v>1</v>
      </c>
      <c r="F62" s="34" t="s">
        <v>27</v>
      </c>
      <c r="G62" s="24"/>
      <c r="H62" s="1" t="s">
        <v>1</v>
      </c>
      <c r="I62" s="7" t="s">
        <v>28</v>
      </c>
      <c r="J62" s="1" t="s">
        <v>1</v>
      </c>
      <c r="K62" s="7" t="s">
        <v>1</v>
      </c>
      <c r="L62" s="1" t="s">
        <v>1</v>
      </c>
      <c r="M62" s="7" t="s">
        <v>19</v>
      </c>
      <c r="N62" s="1" t="s">
        <v>1</v>
      </c>
      <c r="O62" s="34" t="s">
        <v>1</v>
      </c>
      <c r="P62" s="24"/>
      <c r="Q62" s="1" t="s">
        <v>1</v>
      </c>
      <c r="R62" s="7" t="s">
        <v>1</v>
      </c>
      <c r="S62" s="1" t="s">
        <v>1</v>
      </c>
      <c r="T62" s="34" t="s">
        <v>1</v>
      </c>
      <c r="U62" s="24"/>
      <c r="X62" t="e">
        <f>VLOOKUP(A62,'Ark1'!A:A,1,FALSE)</f>
        <v>#N/A</v>
      </c>
      <c r="Y62" t="e">
        <f>VLOOKUP(A62,'Ark1'!A:B,2,FALSE)</f>
        <v>#N/A</v>
      </c>
    </row>
    <row r="63" spans="1:25" x14ac:dyDescent="0.25">
      <c r="A63" s="12">
        <v>1452</v>
      </c>
      <c r="B63" s="9" t="s">
        <v>79</v>
      </c>
      <c r="C63" s="1" t="s">
        <v>1</v>
      </c>
      <c r="D63" s="9" t="s">
        <v>17</v>
      </c>
      <c r="E63" s="1" t="s">
        <v>1</v>
      </c>
      <c r="F63" s="36" t="s">
        <v>27</v>
      </c>
      <c r="G63" s="24"/>
      <c r="H63" s="1" t="s">
        <v>1</v>
      </c>
      <c r="I63" s="9" t="s">
        <v>28</v>
      </c>
      <c r="J63" s="1" t="s">
        <v>1</v>
      </c>
      <c r="K63" s="9" t="s">
        <v>1</v>
      </c>
      <c r="L63" s="1" t="s">
        <v>1</v>
      </c>
      <c r="M63" s="9" t="s">
        <v>19</v>
      </c>
      <c r="N63" s="1" t="s">
        <v>1</v>
      </c>
      <c r="O63" s="36" t="s">
        <v>1</v>
      </c>
      <c r="P63" s="24"/>
      <c r="Q63" s="1" t="s">
        <v>1</v>
      </c>
      <c r="R63" s="9" t="s">
        <v>1</v>
      </c>
      <c r="S63" s="1" t="s">
        <v>1</v>
      </c>
      <c r="T63" s="36" t="s">
        <v>1</v>
      </c>
      <c r="U63" s="24"/>
      <c r="X63" t="e">
        <f>VLOOKUP(A63,'Ark1'!A:A,1,FALSE)</f>
        <v>#N/A</v>
      </c>
      <c r="Y63" t="e">
        <f>VLOOKUP(A63,'Ark1'!A:B,2,FALSE)</f>
        <v>#N/A</v>
      </c>
    </row>
    <row r="64" spans="1:25" x14ac:dyDescent="0.25">
      <c r="A64" s="13">
        <v>1460</v>
      </c>
      <c r="B64" s="7" t="s">
        <v>80</v>
      </c>
      <c r="C64" s="1" t="s">
        <v>1</v>
      </c>
      <c r="D64" s="7" t="s">
        <v>17</v>
      </c>
      <c r="E64" s="1" t="s">
        <v>1</v>
      </c>
      <c r="F64" s="34" t="s">
        <v>27</v>
      </c>
      <c r="G64" s="24"/>
      <c r="H64" s="1" t="s">
        <v>1</v>
      </c>
      <c r="I64" s="7" t="s">
        <v>28</v>
      </c>
      <c r="J64" s="1" t="s">
        <v>1</v>
      </c>
      <c r="K64" s="7" t="s">
        <v>1</v>
      </c>
      <c r="L64" s="1" t="s">
        <v>1</v>
      </c>
      <c r="M64" s="7" t="s">
        <v>19</v>
      </c>
      <c r="N64" s="1" t="s">
        <v>1</v>
      </c>
      <c r="O64" s="34" t="s">
        <v>1</v>
      </c>
      <c r="P64" s="24"/>
      <c r="Q64" s="1" t="s">
        <v>1</v>
      </c>
      <c r="R64" s="7" t="s">
        <v>1</v>
      </c>
      <c r="S64" s="1" t="s">
        <v>1</v>
      </c>
      <c r="T64" s="34" t="s">
        <v>1</v>
      </c>
      <c r="U64" s="24"/>
      <c r="X64">
        <f>VLOOKUP(A64,'Ark1'!A:A,1,FALSE)</f>
        <v>1460</v>
      </c>
      <c r="Y64" t="str">
        <f>VLOOKUP(A64,'Ark1'!A:B,2,FALSE)</f>
        <v>Lagerartiklar e-handel</v>
      </c>
    </row>
    <row r="65" spans="1:25" x14ac:dyDescent="0.25">
      <c r="A65" s="12">
        <v>1461</v>
      </c>
      <c r="B65" s="9" t="s">
        <v>81</v>
      </c>
      <c r="C65" s="1" t="s">
        <v>1</v>
      </c>
      <c r="D65" s="9" t="s">
        <v>17</v>
      </c>
      <c r="E65" s="1" t="s">
        <v>1</v>
      </c>
      <c r="F65" s="36" t="s">
        <v>27</v>
      </c>
      <c r="G65" s="24"/>
      <c r="H65" s="1" t="s">
        <v>1</v>
      </c>
      <c r="I65" s="9" t="s">
        <v>28</v>
      </c>
      <c r="J65" s="1" t="s">
        <v>1</v>
      </c>
      <c r="K65" s="9" t="s">
        <v>1</v>
      </c>
      <c r="L65" s="1" t="s">
        <v>1</v>
      </c>
      <c r="M65" s="9" t="s">
        <v>19</v>
      </c>
      <c r="N65" s="1" t="s">
        <v>1</v>
      </c>
      <c r="O65" s="36" t="s">
        <v>1</v>
      </c>
      <c r="P65" s="24"/>
      <c r="Q65" s="1" t="s">
        <v>1</v>
      </c>
      <c r="R65" s="9" t="s">
        <v>1</v>
      </c>
      <c r="S65" s="1" t="s">
        <v>1</v>
      </c>
      <c r="T65" s="36" t="s">
        <v>1</v>
      </c>
      <c r="U65" s="24"/>
      <c r="X65">
        <f>VLOOKUP(A65,'Ark1'!A:A,1,FALSE)</f>
        <v>1461</v>
      </c>
      <c r="Y65" t="str">
        <f>VLOOKUP(A65,'Ark1'!A:B,2,FALSE)</f>
        <v>Lagerartiklar butik</v>
      </c>
    </row>
    <row r="66" spans="1:25" x14ac:dyDescent="0.25">
      <c r="A66" s="10">
        <v>1499</v>
      </c>
      <c r="B66" s="5" t="s">
        <v>82</v>
      </c>
      <c r="C66" s="6" t="s">
        <v>1</v>
      </c>
      <c r="D66" s="5" t="s">
        <v>17</v>
      </c>
      <c r="E66" s="6" t="s">
        <v>1</v>
      </c>
      <c r="F66" s="33" t="s">
        <v>36</v>
      </c>
      <c r="G66" s="24"/>
      <c r="H66" s="1" t="s">
        <v>1</v>
      </c>
      <c r="I66" s="7" t="s">
        <v>1</v>
      </c>
      <c r="J66" s="6" t="s">
        <v>1</v>
      </c>
      <c r="K66" s="5" t="s">
        <v>83</v>
      </c>
      <c r="L66" s="6" t="s">
        <v>1</v>
      </c>
      <c r="M66" s="5" t="s">
        <v>19</v>
      </c>
      <c r="N66" s="6" t="s">
        <v>1</v>
      </c>
      <c r="O66" s="33" t="s">
        <v>1</v>
      </c>
      <c r="P66" s="24"/>
      <c r="Q66" s="6" t="s">
        <v>1</v>
      </c>
      <c r="R66" s="5" t="s">
        <v>1</v>
      </c>
      <c r="S66" s="1" t="s">
        <v>1</v>
      </c>
      <c r="T66" s="34" t="s">
        <v>20</v>
      </c>
      <c r="U66" s="24"/>
      <c r="X66" t="e">
        <f>VLOOKUP(A66,'Ark1'!A:A,1,FALSE)</f>
        <v>#N/A</v>
      </c>
      <c r="Y66" t="e">
        <f>VLOOKUP(A66,'Ark1'!A:B,2,FALSE)</f>
        <v>#N/A</v>
      </c>
    </row>
    <row r="67" spans="1:25" x14ac:dyDescent="0.25">
      <c r="A67" s="11">
        <v>1500</v>
      </c>
      <c r="B67" s="8" t="s">
        <v>84</v>
      </c>
      <c r="C67" s="6" t="s">
        <v>1</v>
      </c>
      <c r="D67" s="8" t="s">
        <v>17</v>
      </c>
      <c r="E67" s="6" t="s">
        <v>1</v>
      </c>
      <c r="F67" s="35" t="s">
        <v>22</v>
      </c>
      <c r="G67" s="24"/>
      <c r="H67" s="1" t="s">
        <v>1</v>
      </c>
      <c r="I67" s="9" t="s">
        <v>1</v>
      </c>
      <c r="J67" s="6" t="s">
        <v>1</v>
      </c>
      <c r="K67" s="8" t="s">
        <v>1</v>
      </c>
      <c r="L67" s="6" t="s">
        <v>1</v>
      </c>
      <c r="M67" s="8" t="s">
        <v>19</v>
      </c>
      <c r="N67" s="6" t="s">
        <v>1</v>
      </c>
      <c r="O67" s="35" t="s">
        <v>1</v>
      </c>
      <c r="P67" s="24"/>
      <c r="Q67" s="6" t="s">
        <v>1</v>
      </c>
      <c r="R67" s="8" t="s">
        <v>1</v>
      </c>
      <c r="S67" s="1" t="s">
        <v>1</v>
      </c>
      <c r="T67" s="36" t="s">
        <v>20</v>
      </c>
      <c r="U67" s="24"/>
      <c r="X67" t="e">
        <f>VLOOKUP(A67,'Ark1'!A:A,1,FALSE)</f>
        <v>#N/A</v>
      </c>
      <c r="Y67" t="e">
        <f>VLOOKUP(A67,'Ark1'!A:B,2,FALSE)</f>
        <v>#N/A</v>
      </c>
    </row>
    <row r="68" spans="1:25" x14ac:dyDescent="0.25">
      <c r="A68" s="13">
        <v>1510</v>
      </c>
      <c r="B68" s="7" t="s">
        <v>85</v>
      </c>
      <c r="C68" s="1" t="s">
        <v>1</v>
      </c>
      <c r="D68" s="7" t="s">
        <v>17</v>
      </c>
      <c r="E68" s="1" t="s">
        <v>1</v>
      </c>
      <c r="F68" s="34" t="s">
        <v>27</v>
      </c>
      <c r="G68" s="24"/>
      <c r="H68" s="1" t="s">
        <v>1</v>
      </c>
      <c r="I68" s="7" t="s">
        <v>28</v>
      </c>
      <c r="J68" s="1" t="s">
        <v>1</v>
      </c>
      <c r="K68" s="7" t="s">
        <v>1</v>
      </c>
      <c r="L68" s="1" t="s">
        <v>1</v>
      </c>
      <c r="M68" s="7" t="s">
        <v>19</v>
      </c>
      <c r="N68" s="1" t="s">
        <v>1</v>
      </c>
      <c r="O68" s="34" t="s">
        <v>1</v>
      </c>
      <c r="P68" s="24"/>
      <c r="Q68" s="1" t="s">
        <v>1</v>
      </c>
      <c r="R68" s="7" t="s">
        <v>1</v>
      </c>
      <c r="S68" s="1" t="s">
        <v>1</v>
      </c>
      <c r="T68" s="34" t="s">
        <v>1</v>
      </c>
      <c r="U68" s="24"/>
      <c r="X68">
        <f>VLOOKUP(A68,'Ark1'!A:A,1,FALSE)</f>
        <v>1510</v>
      </c>
      <c r="Y68" t="str">
        <f>VLOOKUP(A68,'Ark1'!A:B,2,FALSE)</f>
        <v>Kundfordringar</v>
      </c>
    </row>
    <row r="69" spans="1:25" x14ac:dyDescent="0.25">
      <c r="A69" s="12">
        <v>1511</v>
      </c>
      <c r="B69" s="9" t="s">
        <v>86</v>
      </c>
      <c r="C69" s="1" t="s">
        <v>1</v>
      </c>
      <c r="D69" s="9" t="s">
        <v>17</v>
      </c>
      <c r="E69" s="1" t="s">
        <v>1</v>
      </c>
      <c r="F69" s="36" t="s">
        <v>27</v>
      </c>
      <c r="G69" s="24"/>
      <c r="H69" s="1" t="s">
        <v>1</v>
      </c>
      <c r="I69" s="9" t="s">
        <v>28</v>
      </c>
      <c r="J69" s="1" t="s">
        <v>1</v>
      </c>
      <c r="K69" s="9" t="s">
        <v>1</v>
      </c>
      <c r="L69" s="1" t="s">
        <v>1</v>
      </c>
      <c r="M69" s="9" t="s">
        <v>19</v>
      </c>
      <c r="N69" s="1" t="s">
        <v>1</v>
      </c>
      <c r="O69" s="36" t="s">
        <v>1</v>
      </c>
      <c r="P69" s="24"/>
      <c r="Q69" s="1" t="s">
        <v>1</v>
      </c>
      <c r="R69" s="9" t="s">
        <v>1</v>
      </c>
      <c r="S69" s="1" t="s">
        <v>1</v>
      </c>
      <c r="T69" s="36" t="s">
        <v>1</v>
      </c>
      <c r="U69" s="24"/>
      <c r="X69" t="e">
        <f>VLOOKUP(A69,'Ark1'!A:A,1,FALSE)</f>
        <v>#N/A</v>
      </c>
      <c r="Y69" t="e">
        <f>VLOOKUP(A69,'Ark1'!A:B,2,FALSE)</f>
        <v>#N/A</v>
      </c>
    </row>
    <row r="70" spans="1:25" x14ac:dyDescent="0.25">
      <c r="A70" s="13">
        <v>1520</v>
      </c>
      <c r="B70" s="7" t="s">
        <v>87</v>
      </c>
      <c r="C70" s="1" t="s">
        <v>1</v>
      </c>
      <c r="D70" s="7" t="s">
        <v>17</v>
      </c>
      <c r="E70" s="1" t="s">
        <v>1</v>
      </c>
      <c r="F70" s="34" t="s">
        <v>27</v>
      </c>
      <c r="G70" s="24"/>
      <c r="H70" s="1" t="s">
        <v>1</v>
      </c>
      <c r="I70" s="7" t="s">
        <v>28</v>
      </c>
      <c r="J70" s="1" t="s">
        <v>1</v>
      </c>
      <c r="K70" s="7" t="s">
        <v>1</v>
      </c>
      <c r="L70" s="1" t="s">
        <v>1</v>
      </c>
      <c r="M70" s="7" t="s">
        <v>19</v>
      </c>
      <c r="N70" s="1" t="s">
        <v>1</v>
      </c>
      <c r="O70" s="34" t="s">
        <v>1</v>
      </c>
      <c r="P70" s="24"/>
      <c r="Q70" s="1" t="s">
        <v>1</v>
      </c>
      <c r="R70" s="7" t="s">
        <v>1</v>
      </c>
      <c r="S70" s="1" t="s">
        <v>1</v>
      </c>
      <c r="T70" s="34" t="s">
        <v>1</v>
      </c>
      <c r="U70" s="24"/>
      <c r="X70" t="e">
        <f>VLOOKUP(A70,'Ark1'!A:A,1,FALSE)</f>
        <v>#N/A</v>
      </c>
      <c r="Y70" t="e">
        <f>VLOOKUP(A70,'Ark1'!A:B,2,FALSE)</f>
        <v>#N/A</v>
      </c>
    </row>
    <row r="71" spans="1:25" x14ac:dyDescent="0.25">
      <c r="A71" s="12">
        <v>1530</v>
      </c>
      <c r="B71" s="9" t="s">
        <v>88</v>
      </c>
      <c r="C71" s="1" t="s">
        <v>1</v>
      </c>
      <c r="D71" s="9" t="s">
        <v>17</v>
      </c>
      <c r="E71" s="1" t="s">
        <v>1</v>
      </c>
      <c r="F71" s="36" t="s">
        <v>27</v>
      </c>
      <c r="G71" s="24"/>
      <c r="H71" s="1" t="s">
        <v>1</v>
      </c>
      <c r="I71" s="9" t="s">
        <v>28</v>
      </c>
      <c r="J71" s="1" t="s">
        <v>1</v>
      </c>
      <c r="K71" s="9" t="s">
        <v>1</v>
      </c>
      <c r="L71" s="1" t="s">
        <v>1</v>
      </c>
      <c r="M71" s="9" t="s">
        <v>19</v>
      </c>
      <c r="N71" s="1" t="s">
        <v>1</v>
      </c>
      <c r="O71" s="36" t="s">
        <v>1</v>
      </c>
      <c r="P71" s="24"/>
      <c r="Q71" s="1" t="s">
        <v>1</v>
      </c>
      <c r="R71" s="9" t="s">
        <v>1</v>
      </c>
      <c r="S71" s="1" t="s">
        <v>1</v>
      </c>
      <c r="T71" s="36" t="s">
        <v>1</v>
      </c>
      <c r="U71" s="24"/>
      <c r="X71" t="e">
        <f>VLOOKUP(A71,'Ark1'!A:A,1,FALSE)</f>
        <v>#N/A</v>
      </c>
      <c r="Y71" t="e">
        <f>VLOOKUP(A71,'Ark1'!A:B,2,FALSE)</f>
        <v>#N/A</v>
      </c>
    </row>
    <row r="72" spans="1:25" x14ac:dyDescent="0.25">
      <c r="A72" s="10">
        <v>1599</v>
      </c>
      <c r="B72" s="5" t="s">
        <v>89</v>
      </c>
      <c r="C72" s="6" t="s">
        <v>1</v>
      </c>
      <c r="D72" s="5" t="s">
        <v>17</v>
      </c>
      <c r="E72" s="6" t="s">
        <v>1</v>
      </c>
      <c r="F72" s="33" t="s">
        <v>36</v>
      </c>
      <c r="G72" s="24"/>
      <c r="H72" s="1" t="s">
        <v>1</v>
      </c>
      <c r="I72" s="7" t="s">
        <v>1</v>
      </c>
      <c r="J72" s="6" t="s">
        <v>1</v>
      </c>
      <c r="K72" s="5" t="s">
        <v>90</v>
      </c>
      <c r="L72" s="6" t="s">
        <v>1</v>
      </c>
      <c r="M72" s="5" t="s">
        <v>19</v>
      </c>
      <c r="N72" s="6" t="s">
        <v>1</v>
      </c>
      <c r="O72" s="33" t="s">
        <v>1</v>
      </c>
      <c r="P72" s="24"/>
      <c r="Q72" s="6" t="s">
        <v>1</v>
      </c>
      <c r="R72" s="5" t="s">
        <v>1</v>
      </c>
      <c r="S72" s="1" t="s">
        <v>1</v>
      </c>
      <c r="T72" s="34" t="s">
        <v>20</v>
      </c>
      <c r="U72" s="24"/>
      <c r="X72" t="e">
        <f>VLOOKUP(A72,'Ark1'!A:A,1,FALSE)</f>
        <v>#N/A</v>
      </c>
      <c r="Y72" t="e">
        <f>VLOOKUP(A72,'Ark1'!A:B,2,FALSE)</f>
        <v>#N/A</v>
      </c>
    </row>
    <row r="73" spans="1:25" x14ac:dyDescent="0.25">
      <c r="A73" s="12">
        <v>1793</v>
      </c>
      <c r="B73" s="9" t="s">
        <v>91</v>
      </c>
      <c r="C73" s="1" t="s">
        <v>1</v>
      </c>
      <c r="D73" s="9" t="s">
        <v>17</v>
      </c>
      <c r="E73" s="1" t="s">
        <v>1</v>
      </c>
      <c r="F73" s="36" t="s">
        <v>27</v>
      </c>
      <c r="G73" s="24"/>
      <c r="H73" s="1" t="s">
        <v>1</v>
      </c>
      <c r="I73" s="9" t="s">
        <v>28</v>
      </c>
      <c r="J73" s="1" t="s">
        <v>1</v>
      </c>
      <c r="K73" s="9" t="s">
        <v>1</v>
      </c>
      <c r="L73" s="1" t="s">
        <v>1</v>
      </c>
      <c r="M73" s="9" t="s">
        <v>19</v>
      </c>
      <c r="N73" s="1" t="s">
        <v>1</v>
      </c>
      <c r="O73" s="36" t="s">
        <v>1</v>
      </c>
      <c r="P73" s="24"/>
      <c r="Q73" s="1" t="s">
        <v>1</v>
      </c>
      <c r="R73" s="9" t="s">
        <v>1</v>
      </c>
      <c r="S73" s="1" t="s">
        <v>1</v>
      </c>
      <c r="T73" s="36" t="s">
        <v>1</v>
      </c>
      <c r="U73" s="24"/>
      <c r="X73" t="e">
        <f>VLOOKUP(A73,'Ark1'!A:A,1,FALSE)</f>
        <v>#N/A</v>
      </c>
      <c r="Y73" t="e">
        <f>VLOOKUP(A73,'Ark1'!A:B,2,FALSE)</f>
        <v>#N/A</v>
      </c>
    </row>
    <row r="74" spans="1:25" x14ac:dyDescent="0.25">
      <c r="A74" s="10">
        <v>1900</v>
      </c>
      <c r="B74" s="5" t="s">
        <v>92</v>
      </c>
      <c r="C74" s="6" t="s">
        <v>1</v>
      </c>
      <c r="D74" s="5" t="s">
        <v>17</v>
      </c>
      <c r="E74" s="6" t="s">
        <v>1</v>
      </c>
      <c r="F74" s="33" t="s">
        <v>22</v>
      </c>
      <c r="G74" s="24"/>
      <c r="H74" s="1" t="s">
        <v>1</v>
      </c>
      <c r="I74" s="7" t="s">
        <v>1</v>
      </c>
      <c r="J74" s="6" t="s">
        <v>1</v>
      </c>
      <c r="K74" s="5" t="s">
        <v>1</v>
      </c>
      <c r="L74" s="6" t="s">
        <v>1</v>
      </c>
      <c r="M74" s="5" t="s">
        <v>19</v>
      </c>
      <c r="N74" s="6" t="s">
        <v>1</v>
      </c>
      <c r="O74" s="33" t="s">
        <v>1</v>
      </c>
      <c r="P74" s="24"/>
      <c r="Q74" s="6" t="s">
        <v>1</v>
      </c>
      <c r="R74" s="5" t="s">
        <v>1</v>
      </c>
      <c r="S74" s="1" t="s">
        <v>1</v>
      </c>
      <c r="T74" s="34" t="s">
        <v>20</v>
      </c>
      <c r="U74" s="24"/>
      <c r="X74" t="e">
        <f>VLOOKUP(A74,'Ark1'!A:A,1,FALSE)</f>
        <v>#N/A</v>
      </c>
      <c r="Y74" t="e">
        <f>VLOOKUP(A74,'Ark1'!A:B,2,FALSE)</f>
        <v>#N/A</v>
      </c>
    </row>
    <row r="75" spans="1:25" x14ac:dyDescent="0.25">
      <c r="A75" s="12">
        <v>1910</v>
      </c>
      <c r="B75" s="9" t="s">
        <v>93</v>
      </c>
      <c r="C75" s="1" t="s">
        <v>1</v>
      </c>
      <c r="D75" s="9" t="s">
        <v>17</v>
      </c>
      <c r="E75" s="1" t="s">
        <v>1</v>
      </c>
      <c r="F75" s="36" t="s">
        <v>27</v>
      </c>
      <c r="G75" s="24"/>
      <c r="H75" s="1" t="s">
        <v>1</v>
      </c>
      <c r="I75" s="9" t="s">
        <v>28</v>
      </c>
      <c r="J75" s="1" t="s">
        <v>1</v>
      </c>
      <c r="K75" s="9" t="s">
        <v>1</v>
      </c>
      <c r="L75" s="1" t="s">
        <v>1</v>
      </c>
      <c r="M75" s="9" t="s">
        <v>19</v>
      </c>
      <c r="N75" s="1" t="s">
        <v>1</v>
      </c>
      <c r="O75" s="36" t="s">
        <v>1</v>
      </c>
      <c r="P75" s="24"/>
      <c r="Q75" s="1" t="s">
        <v>1</v>
      </c>
      <c r="R75" s="9" t="s">
        <v>1</v>
      </c>
      <c r="S75" s="1" t="s">
        <v>1</v>
      </c>
      <c r="T75" s="36" t="s">
        <v>1</v>
      </c>
      <c r="U75" s="24"/>
      <c r="X75">
        <f>VLOOKUP(A75,'Ark1'!A:A,1,FALSE)</f>
        <v>1910</v>
      </c>
      <c r="Y75" t="str">
        <f>VLOOKUP(A75,'Ark1'!A:B,2,FALSE)</f>
        <v>Kassa &amp; Bank</v>
      </c>
    </row>
    <row r="76" spans="1:25" x14ac:dyDescent="0.25">
      <c r="A76" s="13">
        <v>1920</v>
      </c>
      <c r="B76" s="7" t="s">
        <v>94</v>
      </c>
      <c r="C76" s="1" t="s">
        <v>1</v>
      </c>
      <c r="D76" s="7" t="s">
        <v>17</v>
      </c>
      <c r="E76" s="1" t="s">
        <v>1</v>
      </c>
      <c r="F76" s="34" t="s">
        <v>27</v>
      </c>
      <c r="G76" s="24"/>
      <c r="H76" s="1" t="s">
        <v>1</v>
      </c>
      <c r="I76" s="7" t="s">
        <v>28</v>
      </c>
      <c r="J76" s="1" t="s">
        <v>1</v>
      </c>
      <c r="K76" s="7" t="s">
        <v>1</v>
      </c>
      <c r="L76" s="1" t="s">
        <v>1</v>
      </c>
      <c r="M76" s="7" t="s">
        <v>19</v>
      </c>
      <c r="N76" s="1" t="s">
        <v>1</v>
      </c>
      <c r="O76" s="34" t="s">
        <v>1</v>
      </c>
      <c r="P76" s="24"/>
      <c r="Q76" s="1" t="s">
        <v>1</v>
      </c>
      <c r="R76" s="7" t="s">
        <v>1</v>
      </c>
      <c r="S76" s="1" t="s">
        <v>1</v>
      </c>
      <c r="T76" s="34" t="s">
        <v>1</v>
      </c>
      <c r="U76" s="24"/>
      <c r="X76">
        <f>VLOOKUP(A76,'Ark1'!A:A,1,FALSE)</f>
        <v>1920</v>
      </c>
      <c r="Y76" t="str">
        <f>VLOOKUP(A76,'Ark1'!A:B,2,FALSE)</f>
        <v>Externa bankkonto</v>
      </c>
    </row>
    <row r="77" spans="1:25" x14ac:dyDescent="0.25">
      <c r="A77" s="12">
        <v>1940</v>
      </c>
      <c r="B77" s="9" t="s">
        <v>95</v>
      </c>
      <c r="C77" s="1" t="s">
        <v>1</v>
      </c>
      <c r="D77" s="9" t="s">
        <v>17</v>
      </c>
      <c r="E77" s="1" t="s">
        <v>1</v>
      </c>
      <c r="F77" s="36" t="s">
        <v>27</v>
      </c>
      <c r="G77" s="24"/>
      <c r="H77" s="1" t="s">
        <v>1</v>
      </c>
      <c r="I77" s="9" t="s">
        <v>28</v>
      </c>
      <c r="J77" s="1" t="s">
        <v>1</v>
      </c>
      <c r="K77" s="9" t="s">
        <v>1</v>
      </c>
      <c r="L77" s="1" t="s">
        <v>1</v>
      </c>
      <c r="M77" s="9" t="s">
        <v>19</v>
      </c>
      <c r="N77" s="1" t="s">
        <v>1</v>
      </c>
      <c r="O77" s="36" t="s">
        <v>1</v>
      </c>
      <c r="P77" s="24"/>
      <c r="Q77" s="1" t="s">
        <v>1</v>
      </c>
      <c r="R77" s="9" t="s">
        <v>1</v>
      </c>
      <c r="S77" s="1" t="s">
        <v>1</v>
      </c>
      <c r="T77" s="36" t="s">
        <v>1</v>
      </c>
      <c r="U77" s="24"/>
      <c r="X77" t="e">
        <f>VLOOKUP(A77,'Ark1'!A:A,1,FALSE)</f>
        <v>#N/A</v>
      </c>
      <c r="Y77" t="e">
        <f>VLOOKUP(A77,'Ark1'!A:B,2,FALSE)</f>
        <v>#N/A</v>
      </c>
    </row>
    <row r="78" spans="1:25" x14ac:dyDescent="0.25">
      <c r="A78" s="13">
        <v>1941</v>
      </c>
      <c r="B78" s="7" t="s">
        <v>96</v>
      </c>
      <c r="C78" s="1" t="s">
        <v>1</v>
      </c>
      <c r="D78" s="7" t="s">
        <v>17</v>
      </c>
      <c r="E78" s="1" t="s">
        <v>1</v>
      </c>
      <c r="F78" s="34" t="s">
        <v>27</v>
      </c>
      <c r="G78" s="24"/>
      <c r="H78" s="1" t="s">
        <v>1</v>
      </c>
      <c r="I78" s="7" t="s">
        <v>28</v>
      </c>
      <c r="J78" s="1" t="s">
        <v>1</v>
      </c>
      <c r="K78" s="7" t="s">
        <v>1</v>
      </c>
      <c r="L78" s="1" t="s">
        <v>1</v>
      </c>
      <c r="M78" s="7" t="s">
        <v>19</v>
      </c>
      <c r="N78" s="1" t="s">
        <v>1</v>
      </c>
      <c r="O78" s="34" t="s">
        <v>1</v>
      </c>
      <c r="P78" s="24"/>
      <c r="Q78" s="1" t="s">
        <v>1</v>
      </c>
      <c r="R78" s="7" t="s">
        <v>1</v>
      </c>
      <c r="S78" s="1" t="s">
        <v>1</v>
      </c>
      <c r="T78" s="34" t="s">
        <v>1</v>
      </c>
      <c r="U78" s="24"/>
      <c r="X78" t="e">
        <f>VLOOKUP(A78,'Ark1'!A:A,1,FALSE)</f>
        <v>#N/A</v>
      </c>
      <c r="Y78" t="e">
        <f>VLOOKUP(A78,'Ark1'!A:B,2,FALSE)</f>
        <v>#N/A</v>
      </c>
    </row>
    <row r="79" spans="1:25" x14ac:dyDescent="0.25">
      <c r="A79" s="11">
        <v>1949</v>
      </c>
      <c r="B79" s="8" t="s">
        <v>97</v>
      </c>
      <c r="C79" s="6" t="s">
        <v>1</v>
      </c>
      <c r="D79" s="8" t="s">
        <v>17</v>
      </c>
      <c r="E79" s="6" t="s">
        <v>1</v>
      </c>
      <c r="F79" s="35" t="s">
        <v>36</v>
      </c>
      <c r="G79" s="24"/>
      <c r="H79" s="1" t="s">
        <v>1</v>
      </c>
      <c r="I79" s="9" t="s">
        <v>1</v>
      </c>
      <c r="J79" s="6" t="s">
        <v>1</v>
      </c>
      <c r="K79" s="8" t="s">
        <v>98</v>
      </c>
      <c r="L79" s="6" t="s">
        <v>1</v>
      </c>
      <c r="M79" s="8" t="s">
        <v>19</v>
      </c>
      <c r="N79" s="6" t="s">
        <v>1</v>
      </c>
      <c r="O79" s="35" t="s">
        <v>1</v>
      </c>
      <c r="P79" s="24"/>
      <c r="Q79" s="6" t="s">
        <v>1</v>
      </c>
      <c r="R79" s="8" t="s">
        <v>1</v>
      </c>
      <c r="S79" s="1" t="s">
        <v>1</v>
      </c>
      <c r="T79" s="36" t="s">
        <v>20</v>
      </c>
      <c r="U79" s="24"/>
      <c r="X79" t="e">
        <f>VLOOKUP(A79,'Ark1'!A:A,1,FALSE)</f>
        <v>#N/A</v>
      </c>
      <c r="Y79" t="e">
        <f>VLOOKUP(A79,'Ark1'!A:B,2,FALSE)</f>
        <v>#N/A</v>
      </c>
    </row>
    <row r="80" spans="1:25" x14ac:dyDescent="0.25">
      <c r="A80" s="10">
        <v>1998</v>
      </c>
      <c r="B80" s="5" t="s">
        <v>99</v>
      </c>
      <c r="C80" s="6" t="s">
        <v>1</v>
      </c>
      <c r="D80" s="5" t="s">
        <v>17</v>
      </c>
      <c r="E80" s="6" t="s">
        <v>1</v>
      </c>
      <c r="F80" s="33" t="s">
        <v>36</v>
      </c>
      <c r="G80" s="24"/>
      <c r="H80" s="1" t="s">
        <v>1</v>
      </c>
      <c r="I80" s="7" t="s">
        <v>1</v>
      </c>
      <c r="J80" s="6" t="s">
        <v>1</v>
      </c>
      <c r="K80" s="5" t="s">
        <v>100</v>
      </c>
      <c r="L80" s="6" t="s">
        <v>1</v>
      </c>
      <c r="M80" s="5" t="s">
        <v>19</v>
      </c>
      <c r="N80" s="6" t="s">
        <v>1</v>
      </c>
      <c r="O80" s="33" t="s">
        <v>1</v>
      </c>
      <c r="P80" s="24"/>
      <c r="Q80" s="6" t="s">
        <v>1</v>
      </c>
      <c r="R80" s="5" t="s">
        <v>1</v>
      </c>
      <c r="S80" s="1" t="s">
        <v>1</v>
      </c>
      <c r="T80" s="34" t="s">
        <v>20</v>
      </c>
      <c r="U80" s="24"/>
      <c r="X80" t="e">
        <f>VLOOKUP(A80,'Ark1'!A:A,1,FALSE)</f>
        <v>#N/A</v>
      </c>
      <c r="Y80" t="e">
        <f>VLOOKUP(A80,'Ark1'!A:B,2,FALSE)</f>
        <v>#N/A</v>
      </c>
    </row>
    <row r="81" spans="1:25" x14ac:dyDescent="0.25">
      <c r="A81" s="1" t="s">
        <v>1</v>
      </c>
      <c r="B81" s="1" t="s">
        <v>1</v>
      </c>
      <c r="C81" s="1" t="s">
        <v>1</v>
      </c>
      <c r="D81" s="1" t="s">
        <v>1</v>
      </c>
      <c r="E81" s="1" t="s">
        <v>1</v>
      </c>
      <c r="F81" s="32" t="s">
        <v>1</v>
      </c>
      <c r="G81" s="24"/>
      <c r="H81" s="1" t="s">
        <v>1</v>
      </c>
      <c r="I81" s="1" t="s">
        <v>1</v>
      </c>
      <c r="J81" s="1" t="s">
        <v>1</v>
      </c>
      <c r="K81" s="1" t="s">
        <v>1</v>
      </c>
      <c r="L81" s="1" t="s">
        <v>1</v>
      </c>
      <c r="M81" s="1" t="s">
        <v>1</v>
      </c>
      <c r="N81" s="1" t="s">
        <v>1</v>
      </c>
      <c r="O81" s="32" t="s">
        <v>1</v>
      </c>
      <c r="P81" s="24"/>
      <c r="Q81" s="1" t="s">
        <v>1</v>
      </c>
      <c r="R81" s="1" t="s">
        <v>1</v>
      </c>
      <c r="S81" s="1" t="s">
        <v>1</v>
      </c>
      <c r="T81" s="32" t="s">
        <v>1</v>
      </c>
      <c r="U81" s="24"/>
      <c r="X81" t="e">
        <f>VLOOKUP(A81,'Ark1'!A:A,1,FALSE)</f>
        <v>#N/A</v>
      </c>
      <c r="Y81" t="e">
        <f>VLOOKUP(A81,'Ark1'!A:B,2,FALSE)</f>
        <v>#N/A</v>
      </c>
    </row>
    <row r="82" spans="1:25" s="17" customFormat="1" x14ac:dyDescent="0.25">
      <c r="A82" s="20">
        <v>1999</v>
      </c>
      <c r="B82" s="21" t="s">
        <v>101</v>
      </c>
      <c r="C82" s="16" t="s">
        <v>1</v>
      </c>
      <c r="D82" s="21" t="s">
        <v>17</v>
      </c>
      <c r="E82" s="16" t="s">
        <v>1</v>
      </c>
      <c r="F82" s="40" t="s">
        <v>36</v>
      </c>
      <c r="G82" s="38"/>
      <c r="H82" s="18" t="s">
        <v>1</v>
      </c>
      <c r="I82" s="22" t="s">
        <v>1</v>
      </c>
      <c r="J82" s="16" t="s">
        <v>1</v>
      </c>
      <c r="K82" s="21" t="s">
        <v>102</v>
      </c>
      <c r="L82" s="16" t="s">
        <v>1</v>
      </c>
      <c r="M82" s="21" t="s">
        <v>19</v>
      </c>
      <c r="N82" s="16" t="s">
        <v>1</v>
      </c>
      <c r="O82" s="40" t="s">
        <v>1</v>
      </c>
      <c r="P82" s="38"/>
      <c r="Q82" s="16" t="s">
        <v>1</v>
      </c>
      <c r="R82" s="21" t="s">
        <v>1</v>
      </c>
      <c r="S82" s="18" t="s">
        <v>1</v>
      </c>
      <c r="T82" s="41" t="s">
        <v>20</v>
      </c>
      <c r="U82" s="38"/>
      <c r="X82" s="17">
        <f>VLOOKUP(A82,'Ark1'!A:A,1,FALSE)</f>
        <v>1999</v>
      </c>
      <c r="Y82" s="17" t="str">
        <f>VLOOKUP(A82,'Ark1'!A:B,2,FALSE)</f>
        <v>OBS konto</v>
      </c>
    </row>
    <row r="83" spans="1:25" x14ac:dyDescent="0.25">
      <c r="A83" s="1" t="s">
        <v>1</v>
      </c>
      <c r="B83" s="1" t="s">
        <v>1</v>
      </c>
      <c r="C83" s="1" t="s">
        <v>1</v>
      </c>
      <c r="D83" s="1" t="s">
        <v>1</v>
      </c>
      <c r="E83" s="1" t="s">
        <v>1</v>
      </c>
      <c r="F83" s="32" t="s">
        <v>1</v>
      </c>
      <c r="G83" s="24"/>
      <c r="H83" s="1" t="s">
        <v>1</v>
      </c>
      <c r="I83" s="1" t="s">
        <v>1</v>
      </c>
      <c r="J83" s="1" t="s">
        <v>1</v>
      </c>
      <c r="K83" s="1" t="s">
        <v>1</v>
      </c>
      <c r="L83" s="1" t="s">
        <v>1</v>
      </c>
      <c r="M83" s="1" t="s">
        <v>1</v>
      </c>
      <c r="N83" s="1" t="s">
        <v>1</v>
      </c>
      <c r="O83" s="32" t="s">
        <v>1</v>
      </c>
      <c r="P83" s="24"/>
      <c r="Q83" s="1" t="s">
        <v>1</v>
      </c>
      <c r="R83" s="1" t="s">
        <v>1</v>
      </c>
      <c r="S83" s="1" t="s">
        <v>1</v>
      </c>
      <c r="T83" s="32" t="s">
        <v>1</v>
      </c>
      <c r="U83" s="24"/>
      <c r="X83" t="e">
        <f>VLOOKUP(A83,'Ark1'!A:A,1,FALSE)</f>
        <v>#N/A</v>
      </c>
      <c r="Y83" t="e">
        <f>VLOOKUP(A83,'Ark1'!A:B,2,FALSE)</f>
        <v>#N/A</v>
      </c>
    </row>
    <row r="84" spans="1:25" x14ac:dyDescent="0.25">
      <c r="A84" s="10">
        <v>2000</v>
      </c>
      <c r="B84" s="5" t="s">
        <v>103</v>
      </c>
      <c r="C84" s="6" t="s">
        <v>1</v>
      </c>
      <c r="D84" s="5" t="s">
        <v>17</v>
      </c>
      <c r="E84" s="6" t="s">
        <v>1</v>
      </c>
      <c r="F84" s="33" t="s">
        <v>22</v>
      </c>
      <c r="G84" s="24"/>
      <c r="H84" s="1" t="s">
        <v>1</v>
      </c>
      <c r="I84" s="7" t="s">
        <v>1</v>
      </c>
      <c r="J84" s="6" t="s">
        <v>1</v>
      </c>
      <c r="K84" s="5" t="s">
        <v>1</v>
      </c>
      <c r="L84" s="6" t="s">
        <v>1</v>
      </c>
      <c r="M84" s="5" t="s">
        <v>19</v>
      </c>
      <c r="N84" s="6" t="s">
        <v>1</v>
      </c>
      <c r="O84" s="33" t="s">
        <v>1</v>
      </c>
      <c r="P84" s="24"/>
      <c r="Q84" s="6" t="s">
        <v>1</v>
      </c>
      <c r="R84" s="5" t="s">
        <v>1</v>
      </c>
      <c r="S84" s="1" t="s">
        <v>1</v>
      </c>
      <c r="T84" s="34" t="s">
        <v>20</v>
      </c>
      <c r="U84" s="24"/>
      <c r="X84" t="e">
        <f>VLOOKUP(A84,'Ark1'!A:A,1,FALSE)</f>
        <v>#N/A</v>
      </c>
      <c r="Y84" t="e">
        <f>VLOOKUP(A84,'Ark1'!A:B,2,FALSE)</f>
        <v>#N/A</v>
      </c>
    </row>
    <row r="85" spans="1:25" x14ac:dyDescent="0.25">
      <c r="A85" s="1" t="s">
        <v>1</v>
      </c>
      <c r="B85" s="1" t="s">
        <v>1</v>
      </c>
      <c r="C85" s="1" t="s">
        <v>1</v>
      </c>
      <c r="D85" s="1" t="s">
        <v>1</v>
      </c>
      <c r="E85" s="1" t="s">
        <v>1</v>
      </c>
      <c r="F85" s="32" t="s">
        <v>1</v>
      </c>
      <c r="G85" s="24"/>
      <c r="H85" s="1" t="s">
        <v>1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</v>
      </c>
      <c r="N85" s="1" t="s">
        <v>1</v>
      </c>
      <c r="O85" s="32" t="s">
        <v>1</v>
      </c>
      <c r="P85" s="24"/>
      <c r="Q85" s="1" t="s">
        <v>1</v>
      </c>
      <c r="R85" s="1" t="s">
        <v>1</v>
      </c>
      <c r="S85" s="1" t="s">
        <v>1</v>
      </c>
      <c r="T85" s="32" t="s">
        <v>1</v>
      </c>
      <c r="U85" s="24"/>
      <c r="X85" t="e">
        <f>VLOOKUP(A85,'Ark1'!A:A,1,FALSE)</f>
        <v>#N/A</v>
      </c>
      <c r="Y85" t="e">
        <f>VLOOKUP(A85,'Ark1'!A:B,2,FALSE)</f>
        <v>#N/A</v>
      </c>
    </row>
    <row r="86" spans="1:25" x14ac:dyDescent="0.25">
      <c r="A86" s="11">
        <v>2010</v>
      </c>
      <c r="B86" s="8" t="s">
        <v>104</v>
      </c>
      <c r="C86" s="6" t="s">
        <v>1</v>
      </c>
      <c r="D86" s="8" t="s">
        <v>17</v>
      </c>
      <c r="E86" s="6" t="s">
        <v>1</v>
      </c>
      <c r="F86" s="35" t="s">
        <v>18</v>
      </c>
      <c r="G86" s="24"/>
      <c r="H86" s="1" t="s">
        <v>1</v>
      </c>
      <c r="I86" s="9" t="s">
        <v>1</v>
      </c>
      <c r="J86" s="6" t="s">
        <v>1</v>
      </c>
      <c r="K86" s="8" t="s">
        <v>1</v>
      </c>
      <c r="L86" s="6" t="s">
        <v>1</v>
      </c>
      <c r="M86" s="8" t="s">
        <v>19</v>
      </c>
      <c r="N86" s="6" t="s">
        <v>1</v>
      </c>
      <c r="O86" s="35" t="s">
        <v>1</v>
      </c>
      <c r="P86" s="24"/>
      <c r="Q86" s="6" t="s">
        <v>1</v>
      </c>
      <c r="R86" s="8" t="s">
        <v>1</v>
      </c>
      <c r="S86" s="1" t="s">
        <v>1</v>
      </c>
      <c r="T86" s="36" t="s">
        <v>20</v>
      </c>
      <c r="U86" s="24"/>
      <c r="X86" t="e">
        <f>VLOOKUP(A86,'Ark1'!A:A,1,FALSE)</f>
        <v>#N/A</v>
      </c>
      <c r="Y86" t="e">
        <f>VLOOKUP(A86,'Ark1'!A:B,2,FALSE)</f>
        <v>#N/A</v>
      </c>
    </row>
    <row r="87" spans="1:25" x14ac:dyDescent="0.25">
      <c r="A87" s="13">
        <v>2081</v>
      </c>
      <c r="B87" s="7" t="s">
        <v>105</v>
      </c>
      <c r="C87" s="1" t="s">
        <v>1</v>
      </c>
      <c r="D87" s="7" t="s">
        <v>17</v>
      </c>
      <c r="E87" s="1" t="s">
        <v>1</v>
      </c>
      <c r="F87" s="34" t="s">
        <v>27</v>
      </c>
      <c r="G87" s="24"/>
      <c r="H87" s="1" t="s">
        <v>1</v>
      </c>
      <c r="I87" s="7" t="s">
        <v>28</v>
      </c>
      <c r="J87" s="1" t="s">
        <v>1</v>
      </c>
      <c r="K87" s="7" t="s">
        <v>1</v>
      </c>
      <c r="L87" s="1" t="s">
        <v>1</v>
      </c>
      <c r="M87" s="7" t="s">
        <v>19</v>
      </c>
      <c r="N87" s="1" t="s">
        <v>1</v>
      </c>
      <c r="O87" s="34" t="s">
        <v>1</v>
      </c>
      <c r="P87" s="24"/>
      <c r="Q87" s="1" t="s">
        <v>1</v>
      </c>
      <c r="R87" s="7" t="s">
        <v>1</v>
      </c>
      <c r="S87" s="1" t="s">
        <v>1</v>
      </c>
      <c r="T87" s="34" t="s">
        <v>1</v>
      </c>
      <c r="U87" s="24"/>
      <c r="X87">
        <f>VLOOKUP(A87,'Ark1'!A:A,1,FALSE)</f>
        <v>2081</v>
      </c>
      <c r="Y87" t="str">
        <f>VLOOKUP(A87,'Ark1'!A:B,2,FALSE)</f>
        <v>Aktiekapital</v>
      </c>
    </row>
    <row r="88" spans="1:25" x14ac:dyDescent="0.25">
      <c r="A88" s="12">
        <v>2085</v>
      </c>
      <c r="B88" s="9" t="s">
        <v>106</v>
      </c>
      <c r="C88" s="1" t="s">
        <v>1</v>
      </c>
      <c r="D88" s="9" t="s">
        <v>17</v>
      </c>
      <c r="E88" s="1" t="s">
        <v>1</v>
      </c>
      <c r="F88" s="36" t="s">
        <v>27</v>
      </c>
      <c r="G88" s="24"/>
      <c r="H88" s="1" t="s">
        <v>1</v>
      </c>
      <c r="I88" s="9" t="s">
        <v>28</v>
      </c>
      <c r="J88" s="1" t="s">
        <v>1</v>
      </c>
      <c r="K88" s="9" t="s">
        <v>1</v>
      </c>
      <c r="L88" s="1" t="s">
        <v>1</v>
      </c>
      <c r="M88" s="9" t="s">
        <v>19</v>
      </c>
      <c r="N88" s="1" t="s">
        <v>1</v>
      </c>
      <c r="O88" s="36" t="s">
        <v>1</v>
      </c>
      <c r="P88" s="24"/>
      <c r="Q88" s="1" t="s">
        <v>1</v>
      </c>
      <c r="R88" s="9" t="s">
        <v>1</v>
      </c>
      <c r="S88" s="1" t="s">
        <v>1</v>
      </c>
      <c r="T88" s="36" t="s">
        <v>1</v>
      </c>
      <c r="U88" s="24"/>
      <c r="X88" t="e">
        <f>VLOOKUP(A88,'Ark1'!A:A,1,FALSE)</f>
        <v>#N/A</v>
      </c>
      <c r="Y88" t="e">
        <f>VLOOKUP(A88,'Ark1'!A:B,2,FALSE)</f>
        <v>#N/A</v>
      </c>
    </row>
    <row r="89" spans="1:25" x14ac:dyDescent="0.25">
      <c r="A89" s="13">
        <v>2091</v>
      </c>
      <c r="B89" s="7" t="s">
        <v>107</v>
      </c>
      <c r="C89" s="1" t="s">
        <v>1</v>
      </c>
      <c r="D89" s="7" t="s">
        <v>17</v>
      </c>
      <c r="E89" s="1" t="s">
        <v>1</v>
      </c>
      <c r="F89" s="34" t="s">
        <v>27</v>
      </c>
      <c r="G89" s="24"/>
      <c r="H89" s="1" t="s">
        <v>1</v>
      </c>
      <c r="I89" s="7" t="s">
        <v>28</v>
      </c>
      <c r="J89" s="1" t="s">
        <v>1</v>
      </c>
      <c r="K89" s="7" t="s">
        <v>1</v>
      </c>
      <c r="L89" s="1" t="s">
        <v>1</v>
      </c>
      <c r="M89" s="7" t="s">
        <v>19</v>
      </c>
      <c r="N89" s="1" t="s">
        <v>1</v>
      </c>
      <c r="O89" s="34" t="s">
        <v>1</v>
      </c>
      <c r="P89" s="24"/>
      <c r="Q89" s="1" t="s">
        <v>1</v>
      </c>
      <c r="R89" s="7" t="s">
        <v>1</v>
      </c>
      <c r="S89" s="1" t="s">
        <v>1</v>
      </c>
      <c r="T89" s="34" t="s">
        <v>1</v>
      </c>
      <c r="U89" s="24"/>
      <c r="X89">
        <f>VLOOKUP(A89,'Ark1'!A:A,1,FALSE)</f>
        <v>2091</v>
      </c>
      <c r="Y89" t="str">
        <f>VLOOKUP(A89,'Ark1'!A:B,2,FALSE)</f>
        <v>Balanserat resultat</v>
      </c>
    </row>
    <row r="90" spans="1:25" s="17" customFormat="1" x14ac:dyDescent="0.25">
      <c r="A90" s="20">
        <v>2099</v>
      </c>
      <c r="B90" s="21" t="s">
        <v>108</v>
      </c>
      <c r="C90" s="16" t="s">
        <v>1</v>
      </c>
      <c r="D90" s="21" t="s">
        <v>17</v>
      </c>
      <c r="E90" s="16" t="s">
        <v>1</v>
      </c>
      <c r="F90" s="40" t="s">
        <v>109</v>
      </c>
      <c r="G90" s="38"/>
      <c r="H90" s="18" t="s">
        <v>1</v>
      </c>
      <c r="I90" s="22" t="s">
        <v>1</v>
      </c>
      <c r="J90" s="16" t="s">
        <v>1</v>
      </c>
      <c r="K90" s="21" t="s">
        <v>110</v>
      </c>
      <c r="L90" s="16" t="s">
        <v>1</v>
      </c>
      <c r="M90" s="21" t="s">
        <v>19</v>
      </c>
      <c r="N90" s="16" t="s">
        <v>1</v>
      </c>
      <c r="O90" s="40" t="s">
        <v>1</v>
      </c>
      <c r="P90" s="38"/>
      <c r="Q90" s="16" t="s">
        <v>1</v>
      </c>
      <c r="R90" s="21" t="s">
        <v>1</v>
      </c>
      <c r="S90" s="18" t="s">
        <v>1</v>
      </c>
      <c r="T90" s="41" t="s">
        <v>20</v>
      </c>
      <c r="U90" s="38"/>
      <c r="X90" s="17">
        <f>VLOOKUP(A90,'Ark1'!A:A,1,FALSE)</f>
        <v>2099</v>
      </c>
      <c r="Y90" s="17" t="str">
        <f>VLOOKUP(A90,'Ark1'!A:B,2,FALSE)</f>
        <v>Årets resultat</v>
      </c>
    </row>
    <row r="91" spans="1:25" x14ac:dyDescent="0.25">
      <c r="A91" s="13">
        <v>2211</v>
      </c>
      <c r="B91" s="7" t="s">
        <v>111</v>
      </c>
      <c r="C91" s="1" t="s">
        <v>1</v>
      </c>
      <c r="D91" s="7" t="s">
        <v>17</v>
      </c>
      <c r="E91" s="1" t="s">
        <v>1</v>
      </c>
      <c r="F91" s="34" t="s">
        <v>27</v>
      </c>
      <c r="G91" s="24"/>
      <c r="H91" s="1" t="s">
        <v>1</v>
      </c>
      <c r="I91" s="7" t="s">
        <v>28</v>
      </c>
      <c r="J91" s="1" t="s">
        <v>1</v>
      </c>
      <c r="K91" s="7" t="s">
        <v>1</v>
      </c>
      <c r="L91" s="1" t="s">
        <v>1</v>
      </c>
      <c r="M91" s="7" t="s">
        <v>19</v>
      </c>
      <c r="N91" s="1" t="s">
        <v>1</v>
      </c>
      <c r="O91" s="34" t="s">
        <v>1</v>
      </c>
      <c r="P91" s="24"/>
      <c r="Q91" s="1" t="s">
        <v>1</v>
      </c>
      <c r="R91" s="7" t="s">
        <v>1</v>
      </c>
      <c r="S91" s="1" t="s">
        <v>1</v>
      </c>
      <c r="T91" s="34" t="s">
        <v>1</v>
      </c>
      <c r="U91" s="24"/>
      <c r="X91" t="e">
        <f>VLOOKUP(A91,'Ark1'!A:A,1,FALSE)</f>
        <v>#N/A</v>
      </c>
      <c r="Y91" t="e">
        <f>VLOOKUP(A91,'Ark1'!A:B,2,FALSE)</f>
        <v>#N/A</v>
      </c>
    </row>
    <row r="92" spans="1:25" x14ac:dyDescent="0.25">
      <c r="A92" s="11">
        <v>2300</v>
      </c>
      <c r="B92" s="8" t="s">
        <v>112</v>
      </c>
      <c r="C92" s="6" t="s">
        <v>1</v>
      </c>
      <c r="D92" s="8" t="s">
        <v>17</v>
      </c>
      <c r="E92" s="6" t="s">
        <v>1</v>
      </c>
      <c r="F92" s="35" t="s">
        <v>22</v>
      </c>
      <c r="G92" s="24"/>
      <c r="H92" s="1" t="s">
        <v>1</v>
      </c>
      <c r="I92" s="9" t="s">
        <v>1</v>
      </c>
      <c r="J92" s="6" t="s">
        <v>1</v>
      </c>
      <c r="K92" s="8" t="s">
        <v>1</v>
      </c>
      <c r="L92" s="6" t="s">
        <v>1</v>
      </c>
      <c r="M92" s="8" t="s">
        <v>19</v>
      </c>
      <c r="N92" s="6" t="s">
        <v>1</v>
      </c>
      <c r="O92" s="35" t="s">
        <v>1</v>
      </c>
      <c r="P92" s="24"/>
      <c r="Q92" s="6" t="s">
        <v>1</v>
      </c>
      <c r="R92" s="8" t="s">
        <v>1</v>
      </c>
      <c r="S92" s="1" t="s">
        <v>1</v>
      </c>
      <c r="T92" s="36" t="s">
        <v>20</v>
      </c>
      <c r="U92" s="24"/>
      <c r="X92" t="e">
        <f>VLOOKUP(A92,'Ark1'!A:A,1,FALSE)</f>
        <v>#N/A</v>
      </c>
      <c r="Y92" t="e">
        <f>VLOOKUP(A92,'Ark1'!A:B,2,FALSE)</f>
        <v>#N/A</v>
      </c>
    </row>
    <row r="93" spans="1:25" x14ac:dyDescent="0.25">
      <c r="A93" s="13">
        <v>2330</v>
      </c>
      <c r="B93" s="7" t="s">
        <v>113</v>
      </c>
      <c r="C93" s="1" t="s">
        <v>1</v>
      </c>
      <c r="D93" s="7" t="s">
        <v>17</v>
      </c>
      <c r="E93" s="1" t="s">
        <v>1</v>
      </c>
      <c r="F93" s="34" t="s">
        <v>27</v>
      </c>
      <c r="G93" s="24"/>
      <c r="H93" s="1" t="s">
        <v>1</v>
      </c>
      <c r="I93" s="7" t="s">
        <v>28</v>
      </c>
      <c r="J93" s="1" t="s">
        <v>1</v>
      </c>
      <c r="K93" s="7" t="s">
        <v>1</v>
      </c>
      <c r="L93" s="1" t="s">
        <v>1</v>
      </c>
      <c r="M93" s="7" t="s">
        <v>19</v>
      </c>
      <c r="N93" s="1" t="s">
        <v>1</v>
      </c>
      <c r="O93" s="34" t="s">
        <v>1</v>
      </c>
      <c r="P93" s="24"/>
      <c r="Q93" s="1" t="s">
        <v>1</v>
      </c>
      <c r="R93" s="7" t="s">
        <v>1</v>
      </c>
      <c r="S93" s="1" t="s">
        <v>1</v>
      </c>
      <c r="T93" s="34" t="s">
        <v>1</v>
      </c>
      <c r="U93" s="24"/>
      <c r="X93" t="e">
        <f>VLOOKUP(A93,'Ark1'!A:A,1,FALSE)</f>
        <v>#N/A</v>
      </c>
      <c r="Y93" t="e">
        <f>VLOOKUP(A93,'Ark1'!A:B,2,FALSE)</f>
        <v>#N/A</v>
      </c>
    </row>
    <row r="94" spans="1:25" x14ac:dyDescent="0.25">
      <c r="A94" s="12">
        <v>2352</v>
      </c>
      <c r="B94" s="9" t="s">
        <v>114</v>
      </c>
      <c r="C94" s="1" t="s">
        <v>1</v>
      </c>
      <c r="D94" s="9" t="s">
        <v>17</v>
      </c>
      <c r="E94" s="1" t="s">
        <v>1</v>
      </c>
      <c r="F94" s="36" t="s">
        <v>27</v>
      </c>
      <c r="G94" s="24"/>
      <c r="H94" s="1" t="s">
        <v>1</v>
      </c>
      <c r="I94" s="9" t="s">
        <v>28</v>
      </c>
      <c r="J94" s="1" t="s">
        <v>1</v>
      </c>
      <c r="K94" s="9" t="s">
        <v>1</v>
      </c>
      <c r="L94" s="1" t="s">
        <v>1</v>
      </c>
      <c r="M94" s="9" t="s">
        <v>19</v>
      </c>
      <c r="N94" s="1" t="s">
        <v>1</v>
      </c>
      <c r="O94" s="36" t="s">
        <v>1</v>
      </c>
      <c r="P94" s="24"/>
      <c r="Q94" s="1" t="s">
        <v>1</v>
      </c>
      <c r="R94" s="9" t="s">
        <v>1</v>
      </c>
      <c r="S94" s="1" t="s">
        <v>1</v>
      </c>
      <c r="T94" s="36" t="s">
        <v>1</v>
      </c>
      <c r="U94" s="24"/>
      <c r="X94" t="e">
        <f>VLOOKUP(A94,'Ark1'!A:A,1,FALSE)</f>
        <v>#N/A</v>
      </c>
      <c r="Y94" t="e">
        <f>VLOOKUP(A94,'Ark1'!A:B,2,FALSE)</f>
        <v>#N/A</v>
      </c>
    </row>
    <row r="95" spans="1:25" x14ac:dyDescent="0.25">
      <c r="A95" s="13">
        <v>2359</v>
      </c>
      <c r="B95" s="7" t="s">
        <v>115</v>
      </c>
      <c r="C95" s="1" t="s">
        <v>1</v>
      </c>
      <c r="D95" s="7" t="s">
        <v>17</v>
      </c>
      <c r="E95" s="1" t="s">
        <v>1</v>
      </c>
      <c r="F95" s="34" t="s">
        <v>27</v>
      </c>
      <c r="G95" s="24"/>
      <c r="H95" s="1" t="s">
        <v>1</v>
      </c>
      <c r="I95" s="7" t="s">
        <v>28</v>
      </c>
      <c r="J95" s="1" t="s">
        <v>1</v>
      </c>
      <c r="K95" s="7" t="s">
        <v>1</v>
      </c>
      <c r="L95" s="1" t="s">
        <v>1</v>
      </c>
      <c r="M95" s="7" t="s">
        <v>19</v>
      </c>
      <c r="N95" s="1" t="s">
        <v>1</v>
      </c>
      <c r="O95" s="34" t="s">
        <v>1</v>
      </c>
      <c r="P95" s="24"/>
      <c r="Q95" s="1" t="s">
        <v>1</v>
      </c>
      <c r="R95" s="7" t="s">
        <v>1</v>
      </c>
      <c r="S95" s="1" t="s">
        <v>1</v>
      </c>
      <c r="T95" s="34" t="s">
        <v>1</v>
      </c>
      <c r="U95" s="24"/>
      <c r="X95" t="e">
        <f>VLOOKUP(A95,'Ark1'!A:A,1,FALSE)</f>
        <v>#N/A</v>
      </c>
      <c r="Y95" t="e">
        <f>VLOOKUP(A95,'Ark1'!A:B,2,FALSE)</f>
        <v>#N/A</v>
      </c>
    </row>
    <row r="96" spans="1:25" x14ac:dyDescent="0.25">
      <c r="A96" s="11">
        <v>2399</v>
      </c>
      <c r="B96" s="8" t="s">
        <v>116</v>
      </c>
      <c r="C96" s="6" t="s">
        <v>1</v>
      </c>
      <c r="D96" s="8" t="s">
        <v>17</v>
      </c>
      <c r="E96" s="6" t="s">
        <v>1</v>
      </c>
      <c r="F96" s="35" t="s">
        <v>36</v>
      </c>
      <c r="G96" s="24"/>
      <c r="H96" s="1" t="s">
        <v>1</v>
      </c>
      <c r="I96" s="9" t="s">
        <v>1</v>
      </c>
      <c r="J96" s="6" t="s">
        <v>1</v>
      </c>
      <c r="K96" s="8" t="s">
        <v>117</v>
      </c>
      <c r="L96" s="6" t="s">
        <v>1</v>
      </c>
      <c r="M96" s="8" t="s">
        <v>19</v>
      </c>
      <c r="N96" s="6" t="s">
        <v>1</v>
      </c>
      <c r="O96" s="35" t="s">
        <v>1</v>
      </c>
      <c r="P96" s="24"/>
      <c r="Q96" s="6" t="s">
        <v>1</v>
      </c>
      <c r="R96" s="8" t="s">
        <v>1</v>
      </c>
      <c r="S96" s="1" t="s">
        <v>1</v>
      </c>
      <c r="T96" s="36" t="s">
        <v>20</v>
      </c>
      <c r="U96" s="24"/>
      <c r="X96" t="e">
        <f>VLOOKUP(A96,'Ark1'!A:A,1,FALSE)</f>
        <v>#N/A</v>
      </c>
      <c r="Y96" t="e">
        <f>VLOOKUP(A96,'Ark1'!A:B,2,FALSE)</f>
        <v>#N/A</v>
      </c>
    </row>
    <row r="97" spans="1:25" x14ac:dyDescent="0.25">
      <c r="A97" s="10">
        <v>2400</v>
      </c>
      <c r="B97" s="5" t="s">
        <v>118</v>
      </c>
      <c r="C97" s="6" t="s">
        <v>1</v>
      </c>
      <c r="D97" s="5" t="s">
        <v>17</v>
      </c>
      <c r="E97" s="6" t="s">
        <v>1</v>
      </c>
      <c r="F97" s="33" t="s">
        <v>22</v>
      </c>
      <c r="G97" s="24"/>
      <c r="H97" s="1" t="s">
        <v>1</v>
      </c>
      <c r="I97" s="7" t="s">
        <v>1</v>
      </c>
      <c r="J97" s="6" t="s">
        <v>1</v>
      </c>
      <c r="K97" s="5" t="s">
        <v>1</v>
      </c>
      <c r="L97" s="6" t="s">
        <v>1</v>
      </c>
      <c r="M97" s="5" t="s">
        <v>19</v>
      </c>
      <c r="N97" s="6" t="s">
        <v>1</v>
      </c>
      <c r="O97" s="33" t="s">
        <v>1</v>
      </c>
      <c r="P97" s="24"/>
      <c r="Q97" s="6" t="s">
        <v>1</v>
      </c>
      <c r="R97" s="5" t="s">
        <v>1</v>
      </c>
      <c r="S97" s="1" t="s">
        <v>1</v>
      </c>
      <c r="T97" s="34" t="s">
        <v>20</v>
      </c>
      <c r="U97" s="24"/>
      <c r="X97" t="e">
        <f>VLOOKUP(A97,'Ark1'!A:A,1,FALSE)</f>
        <v>#N/A</v>
      </c>
      <c r="Y97" t="e">
        <f>VLOOKUP(A97,'Ark1'!A:B,2,FALSE)</f>
        <v>#N/A</v>
      </c>
    </row>
    <row r="98" spans="1:25" s="17" customFormat="1" x14ac:dyDescent="0.25">
      <c r="A98" s="20">
        <v>2440</v>
      </c>
      <c r="B98" s="21" t="s">
        <v>119</v>
      </c>
      <c r="C98" s="16" t="s">
        <v>1</v>
      </c>
      <c r="D98" s="21" t="s">
        <v>17</v>
      </c>
      <c r="E98" s="16" t="s">
        <v>1</v>
      </c>
      <c r="F98" s="40" t="s">
        <v>22</v>
      </c>
      <c r="G98" s="38"/>
      <c r="H98" s="18" t="s">
        <v>1</v>
      </c>
      <c r="I98" s="22" t="s">
        <v>1</v>
      </c>
      <c r="J98" s="16" t="s">
        <v>1</v>
      </c>
      <c r="K98" s="21" t="s">
        <v>1</v>
      </c>
      <c r="L98" s="16" t="s">
        <v>1</v>
      </c>
      <c r="M98" s="21" t="s">
        <v>19</v>
      </c>
      <c r="N98" s="16" t="s">
        <v>1</v>
      </c>
      <c r="O98" s="40" t="s">
        <v>1</v>
      </c>
      <c r="P98" s="38"/>
      <c r="Q98" s="16" t="s">
        <v>1</v>
      </c>
      <c r="R98" s="21" t="s">
        <v>1</v>
      </c>
      <c r="S98" s="18" t="s">
        <v>1</v>
      </c>
      <c r="T98" s="41" t="s">
        <v>20</v>
      </c>
      <c r="U98" s="38"/>
      <c r="X98" s="17">
        <f>VLOOKUP(A98,'Ark1'!A:A,1,FALSE)</f>
        <v>2440</v>
      </c>
      <c r="Y98" s="17" t="str">
        <f>VLOOKUP(A98,'Ark1'!A:B,2,FALSE)</f>
        <v>Leverantörsskulder</v>
      </c>
    </row>
    <row r="99" spans="1:25" x14ac:dyDescent="0.25">
      <c r="A99" s="13">
        <v>2441</v>
      </c>
      <c r="B99" s="7" t="s">
        <v>120</v>
      </c>
      <c r="C99" s="1" t="s">
        <v>1</v>
      </c>
      <c r="D99" s="7" t="s">
        <v>17</v>
      </c>
      <c r="E99" s="1" t="s">
        <v>1</v>
      </c>
      <c r="F99" s="34" t="s">
        <v>27</v>
      </c>
      <c r="G99" s="24"/>
      <c r="H99" s="1" t="s">
        <v>1</v>
      </c>
      <c r="I99" s="7" t="s">
        <v>28</v>
      </c>
      <c r="J99" s="1" t="s">
        <v>1</v>
      </c>
      <c r="K99" s="7" t="s">
        <v>1</v>
      </c>
      <c r="L99" s="1" t="s">
        <v>1</v>
      </c>
      <c r="M99" s="7" t="s">
        <v>19</v>
      </c>
      <c r="N99" s="1" t="s">
        <v>1</v>
      </c>
      <c r="O99" s="34" t="s">
        <v>1</v>
      </c>
      <c r="P99" s="24"/>
      <c r="Q99" s="1" t="s">
        <v>1</v>
      </c>
      <c r="R99" s="7" t="s">
        <v>1</v>
      </c>
      <c r="S99" s="1" t="s">
        <v>1</v>
      </c>
      <c r="T99" s="34" t="s">
        <v>1</v>
      </c>
      <c r="U99" s="24"/>
      <c r="X99">
        <f>VLOOKUP(A99,'Ark1'!A:A,1,FALSE)</f>
        <v>2441</v>
      </c>
      <c r="Y99" t="str">
        <f>VLOOKUP(A99,'Ark1'!A:B,2,FALSE)</f>
        <v>Leverantörsskulder valutajustering</v>
      </c>
    </row>
    <row r="100" spans="1:25" x14ac:dyDescent="0.25">
      <c r="A100" s="12">
        <v>2442</v>
      </c>
      <c r="B100" s="9" t="s">
        <v>121</v>
      </c>
      <c r="C100" s="1" t="s">
        <v>1</v>
      </c>
      <c r="D100" s="9" t="s">
        <v>17</v>
      </c>
      <c r="E100" s="1" t="s">
        <v>1</v>
      </c>
      <c r="F100" s="36" t="s">
        <v>27</v>
      </c>
      <c r="G100" s="24"/>
      <c r="H100" s="1" t="s">
        <v>1</v>
      </c>
      <c r="I100" s="9" t="s">
        <v>28</v>
      </c>
      <c r="J100" s="1" t="s">
        <v>1</v>
      </c>
      <c r="K100" s="9" t="s">
        <v>1</v>
      </c>
      <c r="L100" s="1" t="s">
        <v>1</v>
      </c>
      <c r="M100" s="9" t="s">
        <v>19</v>
      </c>
      <c r="N100" s="1" t="s">
        <v>1</v>
      </c>
      <c r="O100" s="36" t="s">
        <v>1</v>
      </c>
      <c r="P100" s="24"/>
      <c r="Q100" s="1" t="s">
        <v>1</v>
      </c>
      <c r="R100" s="9" t="s">
        <v>1</v>
      </c>
      <c r="S100" s="1" t="s">
        <v>1</v>
      </c>
      <c r="T100" s="36" t="s">
        <v>1</v>
      </c>
      <c r="U100" s="24"/>
      <c r="X100" t="e">
        <f>VLOOKUP(A100,'Ark1'!A:A,1,FALSE)</f>
        <v>#N/A</v>
      </c>
      <c r="Y100" t="e">
        <f>VLOOKUP(A100,'Ark1'!A:B,2,FALSE)</f>
        <v>#N/A</v>
      </c>
    </row>
    <row r="101" spans="1:25" x14ac:dyDescent="0.25">
      <c r="A101" s="10">
        <v>2449</v>
      </c>
      <c r="B101" s="5" t="s">
        <v>122</v>
      </c>
      <c r="C101" s="6" t="s">
        <v>1</v>
      </c>
      <c r="D101" s="5" t="s">
        <v>17</v>
      </c>
      <c r="E101" s="6" t="s">
        <v>1</v>
      </c>
      <c r="F101" s="33" t="s">
        <v>36</v>
      </c>
      <c r="G101" s="24"/>
      <c r="H101" s="1" t="s">
        <v>1</v>
      </c>
      <c r="I101" s="7" t="s">
        <v>1</v>
      </c>
      <c r="J101" s="6" t="s">
        <v>1</v>
      </c>
      <c r="K101" s="5" t="s">
        <v>123</v>
      </c>
      <c r="L101" s="6" t="s">
        <v>1</v>
      </c>
      <c r="M101" s="5" t="s">
        <v>19</v>
      </c>
      <c r="N101" s="6" t="s">
        <v>1</v>
      </c>
      <c r="O101" s="33" t="s">
        <v>1</v>
      </c>
      <c r="P101" s="24"/>
      <c r="Q101" s="6" t="s">
        <v>1</v>
      </c>
      <c r="R101" s="5" t="s">
        <v>1</v>
      </c>
      <c r="S101" s="1" t="s">
        <v>1</v>
      </c>
      <c r="T101" s="34" t="s">
        <v>20</v>
      </c>
      <c r="U101" s="24"/>
      <c r="X101" t="e">
        <f>VLOOKUP(A101,'Ark1'!A:A,1,FALSE)</f>
        <v>#N/A</v>
      </c>
      <c r="Y101" t="e">
        <f>VLOOKUP(A101,'Ark1'!A:B,2,FALSE)</f>
        <v>#N/A</v>
      </c>
    </row>
    <row r="102" spans="1:25" x14ac:dyDescent="0.25">
      <c r="A102" s="12">
        <v>2510</v>
      </c>
      <c r="B102" s="9" t="s">
        <v>124</v>
      </c>
      <c r="C102" s="1" t="s">
        <v>1</v>
      </c>
      <c r="D102" s="9" t="s">
        <v>17</v>
      </c>
      <c r="E102" s="1" t="s">
        <v>1</v>
      </c>
      <c r="F102" s="36" t="s">
        <v>27</v>
      </c>
      <c r="G102" s="24"/>
      <c r="H102" s="1" t="s">
        <v>1</v>
      </c>
      <c r="I102" s="9" t="s">
        <v>28</v>
      </c>
      <c r="J102" s="1" t="s">
        <v>1</v>
      </c>
      <c r="K102" s="9" t="s">
        <v>1</v>
      </c>
      <c r="L102" s="1" t="s">
        <v>1</v>
      </c>
      <c r="M102" s="9" t="s">
        <v>19</v>
      </c>
      <c r="N102" s="1" t="s">
        <v>1</v>
      </c>
      <c r="O102" s="36" t="s">
        <v>1</v>
      </c>
      <c r="P102" s="24"/>
      <c r="Q102" s="1" t="s">
        <v>1</v>
      </c>
      <c r="R102" s="9" t="s">
        <v>1</v>
      </c>
      <c r="S102" s="1" t="s">
        <v>1</v>
      </c>
      <c r="T102" s="36" t="s">
        <v>1</v>
      </c>
      <c r="U102" s="24"/>
      <c r="X102">
        <f>VLOOKUP(A102,'Ark1'!A:A,1,FALSE)</f>
        <v>2510</v>
      </c>
      <c r="Y102" t="str">
        <f>VLOOKUP(A102,'Ark1'!A:B,2,FALSE)</f>
        <v>Skatteskulder</v>
      </c>
    </row>
    <row r="103" spans="1:25" x14ac:dyDescent="0.25">
      <c r="A103" s="10">
        <v>2600</v>
      </c>
      <c r="B103" s="5" t="s">
        <v>125</v>
      </c>
      <c r="C103" s="6" t="s">
        <v>1</v>
      </c>
      <c r="D103" s="5" t="s">
        <v>17</v>
      </c>
      <c r="E103" s="6" t="s">
        <v>1</v>
      </c>
      <c r="F103" s="33" t="s">
        <v>22</v>
      </c>
      <c r="G103" s="24"/>
      <c r="H103" s="1" t="s">
        <v>1</v>
      </c>
      <c r="I103" s="7" t="s">
        <v>1</v>
      </c>
      <c r="J103" s="6" t="s">
        <v>1</v>
      </c>
      <c r="K103" s="5" t="s">
        <v>1</v>
      </c>
      <c r="L103" s="6" t="s">
        <v>1</v>
      </c>
      <c r="M103" s="5" t="s">
        <v>19</v>
      </c>
      <c r="N103" s="6" t="s">
        <v>1</v>
      </c>
      <c r="O103" s="33" t="s">
        <v>1</v>
      </c>
      <c r="P103" s="24"/>
      <c r="Q103" s="6" t="s">
        <v>1</v>
      </c>
      <c r="R103" s="5" t="s">
        <v>1</v>
      </c>
      <c r="S103" s="1" t="s">
        <v>1</v>
      </c>
      <c r="T103" s="34" t="s">
        <v>20</v>
      </c>
      <c r="U103" s="24"/>
      <c r="X103" t="e">
        <f>VLOOKUP(A103,'Ark1'!A:A,1,FALSE)</f>
        <v>#N/A</v>
      </c>
      <c r="Y103" t="e">
        <f>VLOOKUP(A103,'Ark1'!A:B,2,FALSE)</f>
        <v>#N/A</v>
      </c>
    </row>
    <row r="104" spans="1:25" x14ac:dyDescent="0.25">
      <c r="A104" s="12">
        <v>2610</v>
      </c>
      <c r="B104" s="9" t="s">
        <v>126</v>
      </c>
      <c r="C104" s="1" t="s">
        <v>1</v>
      </c>
      <c r="D104" s="9" t="s">
        <v>17</v>
      </c>
      <c r="E104" s="1" t="s">
        <v>1</v>
      </c>
      <c r="F104" s="36" t="s">
        <v>27</v>
      </c>
      <c r="G104" s="24"/>
      <c r="H104" s="1" t="s">
        <v>1</v>
      </c>
      <c r="I104" s="9" t="s">
        <v>28</v>
      </c>
      <c r="J104" s="1" t="s">
        <v>1</v>
      </c>
      <c r="K104" s="9" t="s">
        <v>1</v>
      </c>
      <c r="L104" s="1" t="s">
        <v>1</v>
      </c>
      <c r="M104" s="9" t="s">
        <v>19</v>
      </c>
      <c r="N104" s="1" t="s">
        <v>1</v>
      </c>
      <c r="O104" s="36" t="s">
        <v>1</v>
      </c>
      <c r="P104" s="24"/>
      <c r="Q104" s="1" t="s">
        <v>1</v>
      </c>
      <c r="R104" s="9" t="s">
        <v>1</v>
      </c>
      <c r="S104" s="1" t="s">
        <v>1</v>
      </c>
      <c r="T104" s="36" t="s">
        <v>1</v>
      </c>
      <c r="U104" s="24"/>
      <c r="X104">
        <f>VLOOKUP(A104,'Ark1'!A:A,1,FALSE)</f>
        <v>2610</v>
      </c>
      <c r="Y104" t="str">
        <f>VLOOKUP(A104,'Ark1'!A:B,2,FALSE)</f>
        <v>Utgående moms SE</v>
      </c>
    </row>
    <row r="105" spans="1:25" x14ac:dyDescent="0.25">
      <c r="A105" s="13">
        <v>2615</v>
      </c>
      <c r="B105" s="7" t="s">
        <v>127</v>
      </c>
      <c r="C105" s="1" t="s">
        <v>1</v>
      </c>
      <c r="D105" s="7" t="s">
        <v>17</v>
      </c>
      <c r="E105" s="1" t="s">
        <v>1</v>
      </c>
      <c r="F105" s="34" t="s">
        <v>27</v>
      </c>
      <c r="G105" s="24"/>
      <c r="H105" s="1" t="s">
        <v>1</v>
      </c>
      <c r="I105" s="7" t="s">
        <v>28</v>
      </c>
      <c r="J105" s="1" t="s">
        <v>1</v>
      </c>
      <c r="K105" s="7" t="s">
        <v>1</v>
      </c>
      <c r="L105" s="1" t="s">
        <v>1</v>
      </c>
      <c r="M105" s="7" t="s">
        <v>19</v>
      </c>
      <c r="N105" s="1" t="s">
        <v>1</v>
      </c>
      <c r="O105" s="34" t="s">
        <v>1</v>
      </c>
      <c r="P105" s="24"/>
      <c r="Q105" s="1" t="s">
        <v>1</v>
      </c>
      <c r="R105" s="7" t="s">
        <v>1</v>
      </c>
      <c r="S105" s="1" t="s">
        <v>1</v>
      </c>
      <c r="T105" s="34" t="s">
        <v>1</v>
      </c>
      <c r="U105" s="24"/>
      <c r="X105">
        <f>VLOOKUP(A105,'Ark1'!A:A,1,FALSE)</f>
        <v>2615</v>
      </c>
      <c r="Y105" t="str">
        <f>VLOOKUP(A105,'Ark1'!A:B,2,FALSE)</f>
        <v>Utgående moms inköp av varor från
annat EU-land, 25 %</v>
      </c>
    </row>
    <row r="106" spans="1:25" x14ac:dyDescent="0.25">
      <c r="A106" s="12">
        <v>2617</v>
      </c>
      <c r="B106" s="9" t="s">
        <v>128</v>
      </c>
      <c r="C106" s="1" t="s">
        <v>1</v>
      </c>
      <c r="D106" s="9" t="s">
        <v>17</v>
      </c>
      <c r="E106" s="1" t="s">
        <v>1</v>
      </c>
      <c r="F106" s="36" t="s">
        <v>27</v>
      </c>
      <c r="G106" s="24"/>
      <c r="H106" s="1" t="s">
        <v>1</v>
      </c>
      <c r="I106" s="9" t="s">
        <v>28</v>
      </c>
      <c r="J106" s="1" t="s">
        <v>1</v>
      </c>
      <c r="K106" s="9" t="s">
        <v>1</v>
      </c>
      <c r="L106" s="1" t="s">
        <v>1</v>
      </c>
      <c r="M106" s="9" t="s">
        <v>19</v>
      </c>
      <c r="N106" s="1" t="s">
        <v>1</v>
      </c>
      <c r="O106" s="36" t="s">
        <v>1</v>
      </c>
      <c r="P106" s="24"/>
      <c r="Q106" s="1" t="s">
        <v>1</v>
      </c>
      <c r="R106" s="9" t="s">
        <v>1</v>
      </c>
      <c r="S106" s="1" t="s">
        <v>1</v>
      </c>
      <c r="T106" s="36" t="s">
        <v>1</v>
      </c>
      <c r="U106" s="24"/>
      <c r="X106" t="e">
        <f>VLOOKUP(A106,'Ark1'!A:A,1,FALSE)</f>
        <v>#N/A</v>
      </c>
      <c r="Y106" t="e">
        <f>VLOOKUP(A106,'Ark1'!A:B,2,FALSE)</f>
        <v>#N/A</v>
      </c>
    </row>
    <row r="107" spans="1:25" x14ac:dyDescent="0.25">
      <c r="A107" s="13">
        <v>2620</v>
      </c>
      <c r="B107" s="7" t="s">
        <v>129</v>
      </c>
      <c r="C107" s="1" t="s">
        <v>1</v>
      </c>
      <c r="D107" s="7" t="s">
        <v>17</v>
      </c>
      <c r="E107" s="1" t="s">
        <v>1</v>
      </c>
      <c r="F107" s="34" t="s">
        <v>27</v>
      </c>
      <c r="G107" s="24"/>
      <c r="H107" s="1" t="s">
        <v>1</v>
      </c>
      <c r="I107" s="7" t="s">
        <v>28</v>
      </c>
      <c r="J107" s="1" t="s">
        <v>1</v>
      </c>
      <c r="K107" s="7" t="s">
        <v>1</v>
      </c>
      <c r="L107" s="1" t="s">
        <v>1</v>
      </c>
      <c r="M107" s="7" t="s">
        <v>19</v>
      </c>
      <c r="N107" s="1" t="s">
        <v>1</v>
      </c>
      <c r="O107" s="34" t="s">
        <v>1</v>
      </c>
      <c r="P107" s="24"/>
      <c r="Q107" s="1" t="s">
        <v>1</v>
      </c>
      <c r="R107" s="7" t="s">
        <v>1</v>
      </c>
      <c r="S107" s="1" t="s">
        <v>1</v>
      </c>
      <c r="T107" s="34" t="s">
        <v>1</v>
      </c>
      <c r="U107" s="24"/>
      <c r="X107" t="e">
        <f>VLOOKUP(A107,'Ark1'!A:A,1,FALSE)</f>
        <v>#N/A</v>
      </c>
      <c r="Y107" t="e">
        <f>VLOOKUP(A107,'Ark1'!A:B,2,FALSE)</f>
        <v>#N/A</v>
      </c>
    </row>
    <row r="108" spans="1:25" x14ac:dyDescent="0.25">
      <c r="A108" s="12">
        <v>2630</v>
      </c>
      <c r="B108" s="9" t="s">
        <v>130</v>
      </c>
      <c r="C108" s="1" t="s">
        <v>1</v>
      </c>
      <c r="D108" s="9" t="s">
        <v>17</v>
      </c>
      <c r="E108" s="1" t="s">
        <v>1</v>
      </c>
      <c r="F108" s="36" t="s">
        <v>27</v>
      </c>
      <c r="G108" s="24"/>
      <c r="H108" s="1" t="s">
        <v>1</v>
      </c>
      <c r="I108" s="9" t="s">
        <v>28</v>
      </c>
      <c r="J108" s="1" t="s">
        <v>1</v>
      </c>
      <c r="K108" s="9" t="s">
        <v>1</v>
      </c>
      <c r="L108" s="1" t="s">
        <v>1</v>
      </c>
      <c r="M108" s="9" t="s">
        <v>19</v>
      </c>
      <c r="N108" s="1" t="s">
        <v>1</v>
      </c>
      <c r="O108" s="36" t="s">
        <v>1</v>
      </c>
      <c r="P108" s="24"/>
      <c r="Q108" s="1" t="s">
        <v>1</v>
      </c>
      <c r="R108" s="9" t="s">
        <v>1</v>
      </c>
      <c r="S108" s="1" t="s">
        <v>1</v>
      </c>
      <c r="T108" s="36" t="s">
        <v>1</v>
      </c>
      <c r="U108" s="24"/>
      <c r="X108" t="e">
        <f>VLOOKUP(A108,'Ark1'!A:A,1,FALSE)</f>
        <v>#N/A</v>
      </c>
      <c r="Y108" t="e">
        <f>VLOOKUP(A108,'Ark1'!A:B,2,FALSE)</f>
        <v>#N/A</v>
      </c>
    </row>
    <row r="109" spans="1:25" x14ac:dyDescent="0.25">
      <c r="A109" s="13">
        <v>2640</v>
      </c>
      <c r="B109" s="7" t="s">
        <v>131</v>
      </c>
      <c r="C109" s="1" t="s">
        <v>1</v>
      </c>
      <c r="D109" s="7" t="s">
        <v>17</v>
      </c>
      <c r="E109" s="1" t="s">
        <v>1</v>
      </c>
      <c r="F109" s="34" t="s">
        <v>27</v>
      </c>
      <c r="G109" s="24"/>
      <c r="H109" s="1" t="s">
        <v>1</v>
      </c>
      <c r="I109" s="7" t="s">
        <v>28</v>
      </c>
      <c r="J109" s="1" t="s">
        <v>1</v>
      </c>
      <c r="K109" s="7" t="s">
        <v>1</v>
      </c>
      <c r="L109" s="1" t="s">
        <v>1</v>
      </c>
      <c r="M109" s="7" t="s">
        <v>19</v>
      </c>
      <c r="N109" s="1" t="s">
        <v>1</v>
      </c>
      <c r="O109" s="34" t="s">
        <v>1</v>
      </c>
      <c r="P109" s="24"/>
      <c r="Q109" s="1" t="s">
        <v>1</v>
      </c>
      <c r="R109" s="7" t="s">
        <v>1</v>
      </c>
      <c r="S109" s="1" t="s">
        <v>1</v>
      </c>
      <c r="T109" s="34" t="s">
        <v>1</v>
      </c>
      <c r="U109" s="24"/>
      <c r="X109">
        <f>VLOOKUP(A109,'Ark1'!A:A,1,FALSE)</f>
        <v>2640</v>
      </c>
      <c r="Y109" t="str">
        <f>VLOOKUP(A109,'Ark1'!A:B,2,FALSE)</f>
        <v>Ingående moms SE</v>
      </c>
    </row>
    <row r="110" spans="1:25" x14ac:dyDescent="0.25">
      <c r="A110" s="12">
        <v>2641</v>
      </c>
      <c r="B110" s="9" t="s">
        <v>132</v>
      </c>
      <c r="C110" s="1" t="s">
        <v>1</v>
      </c>
      <c r="D110" s="9" t="s">
        <v>17</v>
      </c>
      <c r="E110" s="1" t="s">
        <v>1</v>
      </c>
      <c r="F110" s="36" t="s">
        <v>27</v>
      </c>
      <c r="G110" s="24"/>
      <c r="H110" s="1" t="s">
        <v>1</v>
      </c>
      <c r="I110" s="9" t="s">
        <v>28</v>
      </c>
      <c r="J110" s="1" t="s">
        <v>1</v>
      </c>
      <c r="K110" s="9" t="s">
        <v>1</v>
      </c>
      <c r="L110" s="1" t="s">
        <v>1</v>
      </c>
      <c r="M110" s="9" t="s">
        <v>19</v>
      </c>
      <c r="N110" s="1" t="s">
        <v>1</v>
      </c>
      <c r="O110" s="36" t="s">
        <v>1</v>
      </c>
      <c r="P110" s="24"/>
      <c r="Q110" s="1" t="s">
        <v>1</v>
      </c>
      <c r="R110" s="9" t="s">
        <v>133</v>
      </c>
      <c r="S110" s="1" t="s">
        <v>1</v>
      </c>
      <c r="T110" s="36" t="s">
        <v>1</v>
      </c>
      <c r="U110" s="24"/>
      <c r="X110" t="e">
        <f>VLOOKUP(A110,'Ark1'!A:A,1,FALSE)</f>
        <v>#N/A</v>
      </c>
      <c r="Y110" t="e">
        <f>VLOOKUP(A110,'Ark1'!A:B,2,FALSE)</f>
        <v>#N/A</v>
      </c>
    </row>
    <row r="111" spans="1:25" x14ac:dyDescent="0.25">
      <c r="A111" s="13">
        <v>2642</v>
      </c>
      <c r="B111" s="7" t="s">
        <v>134</v>
      </c>
      <c r="C111" s="1" t="s">
        <v>1</v>
      </c>
      <c r="D111" s="7" t="s">
        <v>17</v>
      </c>
      <c r="E111" s="1" t="s">
        <v>1</v>
      </c>
      <c r="F111" s="34" t="s">
        <v>27</v>
      </c>
      <c r="G111" s="24"/>
      <c r="H111" s="1" t="s">
        <v>1</v>
      </c>
      <c r="I111" s="7" t="s">
        <v>28</v>
      </c>
      <c r="J111" s="1" t="s">
        <v>1</v>
      </c>
      <c r="K111" s="7" t="s">
        <v>1</v>
      </c>
      <c r="L111" s="1" t="s">
        <v>1</v>
      </c>
      <c r="M111" s="7" t="s">
        <v>19</v>
      </c>
      <c r="N111" s="1" t="s">
        <v>1</v>
      </c>
      <c r="O111" s="34" t="s">
        <v>1</v>
      </c>
      <c r="P111" s="24"/>
      <c r="Q111" s="1" t="s">
        <v>1</v>
      </c>
      <c r="R111" s="7" t="s">
        <v>1</v>
      </c>
      <c r="S111" s="1" t="s">
        <v>1</v>
      </c>
      <c r="T111" s="34" t="s">
        <v>1</v>
      </c>
      <c r="U111" s="24"/>
      <c r="X111" t="e">
        <f>VLOOKUP(A111,'Ark1'!A:A,1,FALSE)</f>
        <v>#N/A</v>
      </c>
      <c r="Y111" t="e">
        <f>VLOOKUP(A111,'Ark1'!A:B,2,FALSE)</f>
        <v>#N/A</v>
      </c>
    </row>
    <row r="112" spans="1:25" x14ac:dyDescent="0.25">
      <c r="A112" s="12">
        <v>2645</v>
      </c>
      <c r="B112" s="9" t="s">
        <v>135</v>
      </c>
      <c r="C112" s="1" t="s">
        <v>1</v>
      </c>
      <c r="D112" s="9" t="s">
        <v>17</v>
      </c>
      <c r="E112" s="1" t="s">
        <v>1</v>
      </c>
      <c r="F112" s="36" t="s">
        <v>27</v>
      </c>
      <c r="G112" s="24"/>
      <c r="H112" s="1" t="s">
        <v>1</v>
      </c>
      <c r="I112" s="9" t="s">
        <v>28</v>
      </c>
      <c r="J112" s="1" t="s">
        <v>1</v>
      </c>
      <c r="K112" s="9" t="s">
        <v>1</v>
      </c>
      <c r="L112" s="1" t="s">
        <v>1</v>
      </c>
      <c r="M112" s="9" t="s">
        <v>19</v>
      </c>
      <c r="N112" s="1" t="s">
        <v>1</v>
      </c>
      <c r="O112" s="36" t="s">
        <v>1</v>
      </c>
      <c r="P112" s="24"/>
      <c r="Q112" s="1" t="s">
        <v>1</v>
      </c>
      <c r="R112" s="9" t="s">
        <v>1</v>
      </c>
      <c r="S112" s="1" t="s">
        <v>1</v>
      </c>
      <c r="T112" s="36" t="s">
        <v>1</v>
      </c>
      <c r="U112" s="24"/>
      <c r="X112">
        <f>VLOOKUP(A112,'Ark1'!A:A,1,FALSE)</f>
        <v>2645</v>
      </c>
      <c r="Y112" t="str">
        <f>VLOOKUP(A112,'Ark1'!A:B,2,FALSE)</f>
        <v>Beräknad ingående moms på förvärv
från EU</v>
      </c>
    </row>
    <row r="113" spans="1:25" x14ac:dyDescent="0.25">
      <c r="A113" s="13">
        <v>2647</v>
      </c>
      <c r="B113" s="7" t="s">
        <v>136</v>
      </c>
      <c r="C113" s="1" t="s">
        <v>1</v>
      </c>
      <c r="D113" s="7" t="s">
        <v>17</v>
      </c>
      <c r="E113" s="1" t="s">
        <v>1</v>
      </c>
      <c r="F113" s="34" t="s">
        <v>27</v>
      </c>
      <c r="G113" s="24"/>
      <c r="H113" s="1" t="s">
        <v>1</v>
      </c>
      <c r="I113" s="7" t="s">
        <v>28</v>
      </c>
      <c r="J113" s="1" t="s">
        <v>1</v>
      </c>
      <c r="K113" s="7" t="s">
        <v>1</v>
      </c>
      <c r="L113" s="1" t="s">
        <v>1</v>
      </c>
      <c r="M113" s="7" t="s">
        <v>19</v>
      </c>
      <c r="N113" s="1" t="s">
        <v>1</v>
      </c>
      <c r="O113" s="34" t="s">
        <v>1</v>
      </c>
      <c r="P113" s="24"/>
      <c r="Q113" s="1" t="s">
        <v>1</v>
      </c>
      <c r="R113" s="7" t="s">
        <v>1</v>
      </c>
      <c r="S113" s="1" t="s">
        <v>1</v>
      </c>
      <c r="T113" s="34" t="s">
        <v>1</v>
      </c>
      <c r="U113" s="24"/>
      <c r="X113" t="e">
        <f>VLOOKUP(A113,'Ark1'!A:A,1,FALSE)</f>
        <v>#N/A</v>
      </c>
      <c r="Y113" t="e">
        <f>VLOOKUP(A113,'Ark1'!A:B,2,FALSE)</f>
        <v>#N/A</v>
      </c>
    </row>
    <row r="114" spans="1:25" s="17" customFormat="1" x14ac:dyDescent="0.25">
      <c r="A114" s="20">
        <v>2650</v>
      </c>
      <c r="B114" s="21" t="s">
        <v>137</v>
      </c>
      <c r="C114" s="16" t="s">
        <v>1</v>
      </c>
      <c r="D114" s="21" t="s">
        <v>17</v>
      </c>
      <c r="E114" s="16" t="s">
        <v>1</v>
      </c>
      <c r="F114" s="40" t="s">
        <v>36</v>
      </c>
      <c r="G114" s="38"/>
      <c r="H114" s="18" t="s">
        <v>1</v>
      </c>
      <c r="I114" s="22" t="s">
        <v>1</v>
      </c>
      <c r="J114" s="16" t="s">
        <v>1</v>
      </c>
      <c r="K114" s="21" t="s">
        <v>138</v>
      </c>
      <c r="L114" s="16" t="s">
        <v>1</v>
      </c>
      <c r="M114" s="21" t="s">
        <v>19</v>
      </c>
      <c r="N114" s="16" t="s">
        <v>1</v>
      </c>
      <c r="O114" s="40" t="s">
        <v>1</v>
      </c>
      <c r="P114" s="38"/>
      <c r="Q114" s="16" t="s">
        <v>1</v>
      </c>
      <c r="R114" s="21" t="s">
        <v>1</v>
      </c>
      <c r="S114" s="18" t="s">
        <v>1</v>
      </c>
      <c r="T114" s="41" t="s">
        <v>20</v>
      </c>
      <c r="U114" s="38"/>
      <c r="X114" s="17">
        <f>VLOOKUP(A114,'Ark1'!A:A,1,FALSE)</f>
        <v>2650</v>
      </c>
      <c r="Y114" s="17" t="str">
        <f>VLOOKUP(A114,'Ark1'!A:B,2,FALSE)</f>
        <v>Moms att betala</v>
      </c>
    </row>
    <row r="115" spans="1:25" x14ac:dyDescent="0.25">
      <c r="A115" s="13">
        <v>2670</v>
      </c>
      <c r="B115" s="7" t="s">
        <v>139</v>
      </c>
      <c r="C115" s="1" t="s">
        <v>1</v>
      </c>
      <c r="D115" s="7" t="s">
        <v>140</v>
      </c>
      <c r="E115" s="1" t="s">
        <v>1</v>
      </c>
      <c r="F115" s="34" t="s">
        <v>27</v>
      </c>
      <c r="G115" s="24"/>
      <c r="H115" s="1" t="s">
        <v>1</v>
      </c>
      <c r="I115" s="7" t="s">
        <v>28</v>
      </c>
      <c r="J115" s="1" t="s">
        <v>1</v>
      </c>
      <c r="K115" s="7" t="s">
        <v>1</v>
      </c>
      <c r="L115" s="1" t="s">
        <v>1</v>
      </c>
      <c r="M115" s="7" t="s">
        <v>19</v>
      </c>
      <c r="N115" s="1" t="s">
        <v>1</v>
      </c>
      <c r="O115" s="34" t="s">
        <v>1</v>
      </c>
      <c r="P115" s="24"/>
      <c r="Q115" s="1" t="s">
        <v>1</v>
      </c>
      <c r="R115" s="7" t="s">
        <v>1</v>
      </c>
      <c r="S115" s="1" t="s">
        <v>1</v>
      </c>
      <c r="T115" s="34" t="s">
        <v>1</v>
      </c>
      <c r="U115" s="24"/>
      <c r="X115" t="e">
        <f>VLOOKUP(A115,'Ark1'!A:A,1,FALSE)</f>
        <v>#N/A</v>
      </c>
      <c r="Y115" t="e">
        <f>VLOOKUP(A115,'Ark1'!A:B,2,FALSE)</f>
        <v>#N/A</v>
      </c>
    </row>
    <row r="116" spans="1:25" x14ac:dyDescent="0.25">
      <c r="A116" s="12">
        <v>2671</v>
      </c>
      <c r="B116" s="9" t="s">
        <v>141</v>
      </c>
      <c r="C116" s="1" t="s">
        <v>1</v>
      </c>
      <c r="D116" s="9" t="s">
        <v>140</v>
      </c>
      <c r="E116" s="1" t="s">
        <v>1</v>
      </c>
      <c r="F116" s="36" t="s">
        <v>27</v>
      </c>
      <c r="G116" s="24"/>
      <c r="H116" s="1" t="s">
        <v>1</v>
      </c>
      <c r="I116" s="9" t="s">
        <v>28</v>
      </c>
      <c r="J116" s="1" t="s">
        <v>1</v>
      </c>
      <c r="K116" s="9" t="s">
        <v>1</v>
      </c>
      <c r="L116" s="1" t="s">
        <v>1</v>
      </c>
      <c r="M116" s="9" t="s">
        <v>19</v>
      </c>
      <c r="N116" s="1" t="s">
        <v>1</v>
      </c>
      <c r="O116" s="36" t="s">
        <v>1</v>
      </c>
      <c r="P116" s="24"/>
      <c r="Q116" s="1" t="s">
        <v>1</v>
      </c>
      <c r="R116" s="9" t="s">
        <v>1</v>
      </c>
      <c r="S116" s="1" t="s">
        <v>1</v>
      </c>
      <c r="T116" s="36" t="s">
        <v>1</v>
      </c>
      <c r="U116" s="24"/>
      <c r="X116" t="e">
        <f>VLOOKUP(A116,'Ark1'!A:A,1,FALSE)</f>
        <v>#N/A</v>
      </c>
      <c r="Y116" t="e">
        <f>VLOOKUP(A116,'Ark1'!A:B,2,FALSE)</f>
        <v>#N/A</v>
      </c>
    </row>
    <row r="117" spans="1:25" x14ac:dyDescent="0.25">
      <c r="A117" s="13">
        <v>2672</v>
      </c>
      <c r="B117" s="7" t="s">
        <v>142</v>
      </c>
      <c r="C117" s="1" t="s">
        <v>1</v>
      </c>
      <c r="D117" s="7" t="s">
        <v>140</v>
      </c>
      <c r="E117" s="1" t="s">
        <v>1</v>
      </c>
      <c r="F117" s="34" t="s">
        <v>27</v>
      </c>
      <c r="G117" s="24"/>
      <c r="H117" s="1" t="s">
        <v>1</v>
      </c>
      <c r="I117" s="7" t="s">
        <v>28</v>
      </c>
      <c r="J117" s="1" t="s">
        <v>1</v>
      </c>
      <c r="K117" s="7" t="s">
        <v>1</v>
      </c>
      <c r="L117" s="1" t="s">
        <v>1</v>
      </c>
      <c r="M117" s="7" t="s">
        <v>19</v>
      </c>
      <c r="N117" s="1" t="s">
        <v>1</v>
      </c>
      <c r="O117" s="34" t="s">
        <v>1</v>
      </c>
      <c r="P117" s="24"/>
      <c r="Q117" s="1" t="s">
        <v>1</v>
      </c>
      <c r="R117" s="7" t="s">
        <v>1</v>
      </c>
      <c r="S117" s="1" t="s">
        <v>1</v>
      </c>
      <c r="T117" s="34" t="s">
        <v>1</v>
      </c>
      <c r="U117" s="24"/>
      <c r="X117" t="e">
        <f>VLOOKUP(A117,'Ark1'!A:A,1,FALSE)</f>
        <v>#N/A</v>
      </c>
      <c r="Y117" t="e">
        <f>VLOOKUP(A117,'Ark1'!A:B,2,FALSE)</f>
        <v>#N/A</v>
      </c>
    </row>
    <row r="118" spans="1:25" x14ac:dyDescent="0.25">
      <c r="A118" s="12">
        <v>2674</v>
      </c>
      <c r="B118" s="9" t="s">
        <v>143</v>
      </c>
      <c r="C118" s="1" t="s">
        <v>1</v>
      </c>
      <c r="D118" s="9" t="s">
        <v>140</v>
      </c>
      <c r="E118" s="1" t="s">
        <v>1</v>
      </c>
      <c r="F118" s="36" t="s">
        <v>27</v>
      </c>
      <c r="G118" s="24"/>
      <c r="H118" s="1" t="s">
        <v>1</v>
      </c>
      <c r="I118" s="9" t="s">
        <v>28</v>
      </c>
      <c r="J118" s="1" t="s">
        <v>1</v>
      </c>
      <c r="K118" s="9" t="s">
        <v>1</v>
      </c>
      <c r="L118" s="1" t="s">
        <v>1</v>
      </c>
      <c r="M118" s="9" t="s">
        <v>19</v>
      </c>
      <c r="N118" s="1" t="s">
        <v>1</v>
      </c>
      <c r="O118" s="36" t="s">
        <v>1</v>
      </c>
      <c r="P118" s="24"/>
      <c r="Q118" s="1" t="s">
        <v>1</v>
      </c>
      <c r="R118" s="9" t="s">
        <v>1</v>
      </c>
      <c r="S118" s="1" t="s">
        <v>1</v>
      </c>
      <c r="T118" s="36" t="s">
        <v>1</v>
      </c>
      <c r="U118" s="24"/>
      <c r="X118" t="e">
        <f>VLOOKUP(A118,'Ark1'!A:A,1,FALSE)</f>
        <v>#N/A</v>
      </c>
      <c r="Y118" t="e">
        <f>VLOOKUP(A118,'Ark1'!A:B,2,FALSE)</f>
        <v>#N/A</v>
      </c>
    </row>
    <row r="119" spans="1:25" x14ac:dyDescent="0.25">
      <c r="A119" s="13">
        <v>2679</v>
      </c>
      <c r="B119" s="7" t="s">
        <v>144</v>
      </c>
      <c r="C119" s="1" t="s">
        <v>1</v>
      </c>
      <c r="D119" s="7" t="s">
        <v>17</v>
      </c>
      <c r="E119" s="1" t="s">
        <v>1</v>
      </c>
      <c r="F119" s="34" t="s">
        <v>27</v>
      </c>
      <c r="G119" s="24"/>
      <c r="H119" s="1" t="s">
        <v>1</v>
      </c>
      <c r="I119" s="7" t="s">
        <v>28</v>
      </c>
      <c r="J119" s="1" t="s">
        <v>1</v>
      </c>
      <c r="K119" s="7" t="s">
        <v>1</v>
      </c>
      <c r="L119" s="1" t="s">
        <v>1</v>
      </c>
      <c r="M119" s="7" t="s">
        <v>19</v>
      </c>
      <c r="N119" s="1" t="s">
        <v>1</v>
      </c>
      <c r="O119" s="34" t="s">
        <v>1</v>
      </c>
      <c r="P119" s="24"/>
      <c r="Q119" s="1" t="s">
        <v>1</v>
      </c>
      <c r="R119" s="7" t="s">
        <v>1</v>
      </c>
      <c r="S119" s="1" t="s">
        <v>1</v>
      </c>
      <c r="T119" s="34" t="s">
        <v>1</v>
      </c>
      <c r="U119" s="24"/>
      <c r="X119" t="e">
        <f>VLOOKUP(A119,'Ark1'!A:A,1,FALSE)</f>
        <v>#N/A</v>
      </c>
      <c r="Y119" t="e">
        <f>VLOOKUP(A119,'Ark1'!A:B,2,FALSE)</f>
        <v>#N/A</v>
      </c>
    </row>
    <row r="120" spans="1:25" x14ac:dyDescent="0.25">
      <c r="A120" s="12">
        <v>2711</v>
      </c>
      <c r="B120" s="9" t="s">
        <v>145</v>
      </c>
      <c r="C120" s="1" t="s">
        <v>1</v>
      </c>
      <c r="D120" s="9" t="s">
        <v>17</v>
      </c>
      <c r="E120" s="1" t="s">
        <v>1</v>
      </c>
      <c r="F120" s="36" t="s">
        <v>27</v>
      </c>
      <c r="G120" s="24"/>
      <c r="H120" s="1" t="s">
        <v>1</v>
      </c>
      <c r="I120" s="9" t="s">
        <v>28</v>
      </c>
      <c r="J120" s="1" t="s">
        <v>1</v>
      </c>
      <c r="K120" s="9" t="s">
        <v>1</v>
      </c>
      <c r="L120" s="1" t="s">
        <v>1</v>
      </c>
      <c r="M120" s="9" t="s">
        <v>19</v>
      </c>
      <c r="N120" s="1" t="s">
        <v>1</v>
      </c>
      <c r="O120" s="36" t="s">
        <v>1</v>
      </c>
      <c r="P120" s="24"/>
      <c r="Q120" s="1" t="s">
        <v>1</v>
      </c>
      <c r="R120" s="9" t="s">
        <v>1</v>
      </c>
      <c r="S120" s="1" t="s">
        <v>1</v>
      </c>
      <c r="T120" s="36" t="s">
        <v>1</v>
      </c>
      <c r="U120" s="24"/>
      <c r="X120" t="e">
        <f>VLOOKUP(A120,'Ark1'!A:A,1,FALSE)</f>
        <v>#N/A</v>
      </c>
      <c r="Y120" t="e">
        <f>VLOOKUP(A120,'Ark1'!A:B,2,FALSE)</f>
        <v>#N/A</v>
      </c>
    </row>
    <row r="121" spans="1:25" x14ac:dyDescent="0.25">
      <c r="A121" s="13">
        <v>2718</v>
      </c>
      <c r="B121" s="7" t="s">
        <v>146</v>
      </c>
      <c r="C121" s="1" t="s">
        <v>1</v>
      </c>
      <c r="D121" s="7" t="s">
        <v>17</v>
      </c>
      <c r="E121" s="1" t="s">
        <v>1</v>
      </c>
      <c r="F121" s="34" t="s">
        <v>27</v>
      </c>
      <c r="G121" s="24"/>
      <c r="H121" s="1" t="s">
        <v>1</v>
      </c>
      <c r="I121" s="7" t="s">
        <v>28</v>
      </c>
      <c r="J121" s="1" t="s">
        <v>1</v>
      </c>
      <c r="K121" s="7" t="s">
        <v>1</v>
      </c>
      <c r="L121" s="1" t="s">
        <v>1</v>
      </c>
      <c r="M121" s="7" t="s">
        <v>19</v>
      </c>
      <c r="N121" s="1" t="s">
        <v>1</v>
      </c>
      <c r="O121" s="34" t="s">
        <v>1</v>
      </c>
      <c r="P121" s="24"/>
      <c r="Q121" s="1" t="s">
        <v>1</v>
      </c>
      <c r="R121" s="7" t="s">
        <v>1</v>
      </c>
      <c r="S121" s="1" t="s">
        <v>1</v>
      </c>
      <c r="T121" s="34" t="s">
        <v>1</v>
      </c>
      <c r="U121" s="24"/>
      <c r="X121" t="e">
        <f>VLOOKUP(A121,'Ark1'!A:A,1,FALSE)</f>
        <v>#N/A</v>
      </c>
      <c r="Y121" t="e">
        <f>VLOOKUP(A121,'Ark1'!A:B,2,FALSE)</f>
        <v>#N/A</v>
      </c>
    </row>
    <row r="122" spans="1:25" x14ac:dyDescent="0.25">
      <c r="A122" s="11">
        <v>2890</v>
      </c>
      <c r="B122" s="8" t="s">
        <v>147</v>
      </c>
      <c r="C122" s="6" t="s">
        <v>1</v>
      </c>
      <c r="D122" s="8" t="s">
        <v>17</v>
      </c>
      <c r="E122" s="6" t="s">
        <v>1</v>
      </c>
      <c r="F122" s="35" t="s">
        <v>22</v>
      </c>
      <c r="G122" s="24"/>
      <c r="H122" s="1" t="s">
        <v>1</v>
      </c>
      <c r="I122" s="9" t="s">
        <v>1</v>
      </c>
      <c r="J122" s="6" t="s">
        <v>1</v>
      </c>
      <c r="K122" s="8" t="s">
        <v>1</v>
      </c>
      <c r="L122" s="6" t="s">
        <v>1</v>
      </c>
      <c r="M122" s="8" t="s">
        <v>19</v>
      </c>
      <c r="N122" s="6" t="s">
        <v>1</v>
      </c>
      <c r="O122" s="35" t="s">
        <v>1</v>
      </c>
      <c r="P122" s="24"/>
      <c r="Q122" s="6" t="s">
        <v>1</v>
      </c>
      <c r="R122" s="8" t="s">
        <v>1</v>
      </c>
      <c r="S122" s="1" t="s">
        <v>1</v>
      </c>
      <c r="T122" s="36" t="s">
        <v>20</v>
      </c>
      <c r="U122" s="24"/>
      <c r="X122" t="e">
        <f>VLOOKUP(A122,'Ark1'!A:A,1,FALSE)</f>
        <v>#N/A</v>
      </c>
      <c r="Y122" t="e">
        <f>VLOOKUP(A122,'Ark1'!A:B,2,FALSE)</f>
        <v>#N/A</v>
      </c>
    </row>
    <row r="123" spans="1:25" s="17" customFormat="1" x14ac:dyDescent="0.25">
      <c r="A123" s="14">
        <v>2990</v>
      </c>
      <c r="B123" s="15" t="s">
        <v>148</v>
      </c>
      <c r="C123" s="16" t="s">
        <v>1</v>
      </c>
      <c r="D123" s="15" t="s">
        <v>17</v>
      </c>
      <c r="E123" s="16" t="s">
        <v>1</v>
      </c>
      <c r="F123" s="37" t="s">
        <v>36</v>
      </c>
      <c r="G123" s="38"/>
      <c r="H123" s="18" t="s">
        <v>1</v>
      </c>
      <c r="I123" s="19" t="s">
        <v>1</v>
      </c>
      <c r="J123" s="16" t="s">
        <v>1</v>
      </c>
      <c r="K123" s="15" t="s">
        <v>149</v>
      </c>
      <c r="L123" s="16" t="s">
        <v>1</v>
      </c>
      <c r="M123" s="15" t="s">
        <v>19</v>
      </c>
      <c r="N123" s="16" t="s">
        <v>1</v>
      </c>
      <c r="O123" s="37" t="s">
        <v>1</v>
      </c>
      <c r="P123" s="38"/>
      <c r="Q123" s="16" t="s">
        <v>1</v>
      </c>
      <c r="R123" s="15" t="s">
        <v>1</v>
      </c>
      <c r="S123" s="18" t="s">
        <v>1</v>
      </c>
      <c r="T123" s="39" t="s">
        <v>20</v>
      </c>
      <c r="U123" s="38"/>
      <c r="X123" s="17">
        <f>VLOOKUP(A123,'Ark1'!A:A,1,FALSE)</f>
        <v>2990</v>
      </c>
      <c r="Y123" s="17" t="str">
        <f>VLOOKUP(A123,'Ark1'!A:B,2,FALSE)</f>
        <v>Upplupna kostnader</v>
      </c>
    </row>
    <row r="124" spans="1:25" x14ac:dyDescent="0.25">
      <c r="A124" s="12">
        <v>2993</v>
      </c>
      <c r="B124" s="9" t="s">
        <v>150</v>
      </c>
      <c r="C124" s="1" t="s">
        <v>1</v>
      </c>
      <c r="D124" s="9" t="s">
        <v>17</v>
      </c>
      <c r="E124" s="1" t="s">
        <v>1</v>
      </c>
      <c r="F124" s="36" t="s">
        <v>27</v>
      </c>
      <c r="G124" s="24"/>
      <c r="H124" s="1" t="s">
        <v>1</v>
      </c>
      <c r="I124" s="9" t="s">
        <v>28</v>
      </c>
      <c r="J124" s="1" t="s">
        <v>1</v>
      </c>
      <c r="K124" s="9" t="s">
        <v>1</v>
      </c>
      <c r="L124" s="1" t="s">
        <v>1</v>
      </c>
      <c r="M124" s="9" t="s">
        <v>19</v>
      </c>
      <c r="N124" s="1" t="s">
        <v>1</v>
      </c>
      <c r="O124" s="36" t="s">
        <v>1</v>
      </c>
      <c r="P124" s="24"/>
      <c r="Q124" s="1" t="s">
        <v>1</v>
      </c>
      <c r="R124" s="9" t="s">
        <v>1</v>
      </c>
      <c r="S124" s="1" t="s">
        <v>1</v>
      </c>
      <c r="T124" s="36" t="s">
        <v>1</v>
      </c>
      <c r="U124" s="24"/>
      <c r="X124" t="e">
        <f>VLOOKUP(A124,'Ark1'!A:A,1,FALSE)</f>
        <v>#N/A</v>
      </c>
      <c r="Y124" t="e">
        <f>VLOOKUP(A124,'Ark1'!A:B,2,FALSE)</f>
        <v>#N/A</v>
      </c>
    </row>
    <row r="125" spans="1:25" x14ac:dyDescent="0.25">
      <c r="A125" s="10">
        <v>2995</v>
      </c>
      <c r="B125" s="5" t="s">
        <v>151</v>
      </c>
      <c r="C125" s="6" t="s">
        <v>1</v>
      </c>
      <c r="D125" s="5" t="s">
        <v>17</v>
      </c>
      <c r="E125" s="6" t="s">
        <v>1</v>
      </c>
      <c r="F125" s="33" t="s">
        <v>36</v>
      </c>
      <c r="G125" s="24"/>
      <c r="H125" s="1" t="s">
        <v>1</v>
      </c>
      <c r="I125" s="7" t="s">
        <v>1</v>
      </c>
      <c r="J125" s="6" t="s">
        <v>1</v>
      </c>
      <c r="K125" s="5" t="s">
        <v>152</v>
      </c>
      <c r="L125" s="6" t="s">
        <v>1</v>
      </c>
      <c r="M125" s="5" t="s">
        <v>19</v>
      </c>
      <c r="N125" s="6" t="s">
        <v>1</v>
      </c>
      <c r="O125" s="33" t="s">
        <v>1</v>
      </c>
      <c r="P125" s="24"/>
      <c r="Q125" s="6" t="s">
        <v>1</v>
      </c>
      <c r="R125" s="5" t="s">
        <v>1</v>
      </c>
      <c r="S125" s="1" t="s">
        <v>1</v>
      </c>
      <c r="T125" s="34" t="s">
        <v>20</v>
      </c>
      <c r="U125" s="24"/>
      <c r="X125" t="e">
        <f>VLOOKUP(A125,'Ark1'!A:A,1,FALSE)</f>
        <v>#N/A</v>
      </c>
      <c r="Y125" t="e">
        <f>VLOOKUP(A125,'Ark1'!A:B,2,FALSE)</f>
        <v>#N/A</v>
      </c>
    </row>
    <row r="126" spans="1:25" ht="21" x14ac:dyDescent="0.25">
      <c r="A126" s="12">
        <v>2996</v>
      </c>
      <c r="B126" s="9" t="s">
        <v>153</v>
      </c>
      <c r="C126" s="1" t="s">
        <v>1</v>
      </c>
      <c r="D126" s="9" t="s">
        <v>17</v>
      </c>
      <c r="E126" s="1" t="s">
        <v>1</v>
      </c>
      <c r="F126" s="36" t="s">
        <v>27</v>
      </c>
      <c r="G126" s="24"/>
      <c r="H126" s="1" t="s">
        <v>1</v>
      </c>
      <c r="I126" s="9" t="s">
        <v>28</v>
      </c>
      <c r="J126" s="1" t="s">
        <v>1</v>
      </c>
      <c r="K126" s="9" t="s">
        <v>1</v>
      </c>
      <c r="L126" s="1" t="s">
        <v>1</v>
      </c>
      <c r="M126" s="9" t="s">
        <v>19</v>
      </c>
      <c r="N126" s="1" t="s">
        <v>1</v>
      </c>
      <c r="O126" s="36" t="s">
        <v>1</v>
      </c>
      <c r="P126" s="24"/>
      <c r="Q126" s="1" t="s">
        <v>1</v>
      </c>
      <c r="R126" s="9" t="s">
        <v>1</v>
      </c>
      <c r="S126" s="1" t="s">
        <v>1</v>
      </c>
      <c r="T126" s="36" t="s">
        <v>1</v>
      </c>
      <c r="U126" s="24"/>
      <c r="X126" t="e">
        <f>VLOOKUP(A126,'Ark1'!A:A,1,FALSE)</f>
        <v>#N/A</v>
      </c>
      <c r="Y126" t="e">
        <f>VLOOKUP(A126,'Ark1'!A:B,2,FALSE)</f>
        <v>#N/A</v>
      </c>
    </row>
    <row r="127" spans="1:25" x14ac:dyDescent="0.25">
      <c r="A127" s="10">
        <v>2997</v>
      </c>
      <c r="B127" s="5" t="s">
        <v>154</v>
      </c>
      <c r="C127" s="6" t="s">
        <v>1</v>
      </c>
      <c r="D127" s="5" t="s">
        <v>17</v>
      </c>
      <c r="E127" s="6" t="s">
        <v>1</v>
      </c>
      <c r="F127" s="33" t="s">
        <v>36</v>
      </c>
      <c r="G127" s="24"/>
      <c r="H127" s="1" t="s">
        <v>1</v>
      </c>
      <c r="I127" s="7" t="s">
        <v>1</v>
      </c>
      <c r="J127" s="6" t="s">
        <v>1</v>
      </c>
      <c r="K127" s="5" t="s">
        <v>155</v>
      </c>
      <c r="L127" s="6" t="s">
        <v>1</v>
      </c>
      <c r="M127" s="5" t="s">
        <v>19</v>
      </c>
      <c r="N127" s="6" t="s">
        <v>1</v>
      </c>
      <c r="O127" s="33" t="s">
        <v>1</v>
      </c>
      <c r="P127" s="24"/>
      <c r="Q127" s="6" t="s">
        <v>1</v>
      </c>
      <c r="R127" s="5" t="s">
        <v>1</v>
      </c>
      <c r="S127" s="1" t="s">
        <v>1</v>
      </c>
      <c r="T127" s="34" t="s">
        <v>20</v>
      </c>
      <c r="U127" s="24"/>
      <c r="X127" t="e">
        <f>VLOOKUP(A127,'Ark1'!A:A,1,FALSE)</f>
        <v>#N/A</v>
      </c>
      <c r="Y127" t="e">
        <f>VLOOKUP(A127,'Ark1'!A:B,2,FALSE)</f>
        <v>#N/A</v>
      </c>
    </row>
    <row r="128" spans="1:25" x14ac:dyDescent="0.25">
      <c r="A128" s="1" t="s">
        <v>1</v>
      </c>
      <c r="B128" s="1" t="s">
        <v>1</v>
      </c>
      <c r="C128" s="1" t="s">
        <v>1</v>
      </c>
      <c r="D128" s="1" t="s">
        <v>1</v>
      </c>
      <c r="E128" s="1" t="s">
        <v>1</v>
      </c>
      <c r="F128" s="32" t="s">
        <v>1</v>
      </c>
      <c r="G128" s="24"/>
      <c r="H128" s="1" t="s">
        <v>1</v>
      </c>
      <c r="I128" s="1" t="s">
        <v>1</v>
      </c>
      <c r="J128" s="1" t="s">
        <v>1</v>
      </c>
      <c r="K128" s="1" t="s">
        <v>1</v>
      </c>
      <c r="L128" s="1" t="s">
        <v>1</v>
      </c>
      <c r="M128" s="1" t="s">
        <v>1</v>
      </c>
      <c r="N128" s="1" t="s">
        <v>1</v>
      </c>
      <c r="O128" s="32" t="s">
        <v>1</v>
      </c>
      <c r="P128" s="24"/>
      <c r="Q128" s="1" t="s">
        <v>1</v>
      </c>
      <c r="R128" s="1" t="s">
        <v>1</v>
      </c>
      <c r="S128" s="1" t="s">
        <v>1</v>
      </c>
      <c r="T128" s="32" t="s">
        <v>1</v>
      </c>
      <c r="U128" s="24"/>
      <c r="X128" t="e">
        <f>VLOOKUP(A128,'Ark1'!A:A,1,FALSE)</f>
        <v>#N/A</v>
      </c>
      <c r="Y128" t="e">
        <f>VLOOKUP(A128,'Ark1'!A:B,2,FALSE)</f>
        <v>#N/A</v>
      </c>
    </row>
    <row r="129" spans="1:25" ht="21" x14ac:dyDescent="0.25">
      <c r="A129" s="11">
        <v>2999</v>
      </c>
      <c r="B129" s="8" t="s">
        <v>156</v>
      </c>
      <c r="C129" s="6" t="s">
        <v>1</v>
      </c>
      <c r="D129" s="8" t="s">
        <v>17</v>
      </c>
      <c r="E129" s="6" t="s">
        <v>1</v>
      </c>
      <c r="F129" s="35" t="s">
        <v>109</v>
      </c>
      <c r="G129" s="24"/>
      <c r="H129" s="1" t="s">
        <v>1</v>
      </c>
      <c r="I129" s="9" t="s">
        <v>1</v>
      </c>
      <c r="J129" s="6" t="s">
        <v>1</v>
      </c>
      <c r="K129" s="8" t="s">
        <v>157</v>
      </c>
      <c r="L129" s="6" t="s">
        <v>1</v>
      </c>
      <c r="M129" s="8" t="s">
        <v>19</v>
      </c>
      <c r="N129" s="6" t="s">
        <v>1</v>
      </c>
      <c r="O129" s="35" t="s">
        <v>1</v>
      </c>
      <c r="P129" s="24"/>
      <c r="Q129" s="6" t="s">
        <v>1</v>
      </c>
      <c r="R129" s="8" t="s">
        <v>1</v>
      </c>
      <c r="S129" s="1" t="s">
        <v>1</v>
      </c>
      <c r="T129" s="36" t="s">
        <v>20</v>
      </c>
      <c r="U129" s="24"/>
      <c r="X129" t="e">
        <f>VLOOKUP(A129,'Ark1'!A:A,1,FALSE)</f>
        <v>#N/A</v>
      </c>
      <c r="Y129" t="e">
        <f>VLOOKUP(A129,'Ark1'!A:B,2,FALSE)</f>
        <v>#N/A</v>
      </c>
    </row>
    <row r="130" spans="1:25" ht="0" hidden="1" customHeight="1" x14ac:dyDescent="0.25">
      <c r="X130" t="e">
        <f>VLOOKUP(A130,'Ark1'!A:A,1,FALSE)</f>
        <v>#N/A</v>
      </c>
      <c r="Y130" t="e">
        <f>VLOOKUP(A130,'Ark1'!A:B,2,FALSE)</f>
        <v>#N/A</v>
      </c>
    </row>
  </sheetData>
  <mergeCells count="359">
    <mergeCell ref="F129:G129"/>
    <mergeCell ref="O129:P129"/>
    <mergeCell ref="T129:U129"/>
    <mergeCell ref="F127:G127"/>
    <mergeCell ref="O127:P127"/>
    <mergeCell ref="T127:U127"/>
    <mergeCell ref="F128:G128"/>
    <mergeCell ref="O128:P128"/>
    <mergeCell ref="T128:U128"/>
    <mergeCell ref="F125:G125"/>
    <mergeCell ref="O125:P125"/>
    <mergeCell ref="T125:U125"/>
    <mergeCell ref="F126:G126"/>
    <mergeCell ref="O126:P126"/>
    <mergeCell ref="T126:U126"/>
    <mergeCell ref="F123:G123"/>
    <mergeCell ref="O123:P123"/>
    <mergeCell ref="T123:U123"/>
    <mergeCell ref="F124:G124"/>
    <mergeCell ref="O124:P124"/>
    <mergeCell ref="T124:U124"/>
    <mergeCell ref="F121:G121"/>
    <mergeCell ref="O121:P121"/>
    <mergeCell ref="T121:U121"/>
    <mergeCell ref="F122:G122"/>
    <mergeCell ref="O122:P122"/>
    <mergeCell ref="T122:U122"/>
    <mergeCell ref="F119:G119"/>
    <mergeCell ref="O119:P119"/>
    <mergeCell ref="T119:U119"/>
    <mergeCell ref="F120:G120"/>
    <mergeCell ref="O120:P120"/>
    <mergeCell ref="T120:U120"/>
    <mergeCell ref="F117:G117"/>
    <mergeCell ref="O117:P117"/>
    <mergeCell ref="T117:U117"/>
    <mergeCell ref="F118:G118"/>
    <mergeCell ref="O118:P118"/>
    <mergeCell ref="T118:U118"/>
    <mergeCell ref="F115:G115"/>
    <mergeCell ref="O115:P115"/>
    <mergeCell ref="T115:U115"/>
    <mergeCell ref="F116:G116"/>
    <mergeCell ref="O116:P116"/>
    <mergeCell ref="T116:U116"/>
    <mergeCell ref="F113:G113"/>
    <mergeCell ref="O113:P113"/>
    <mergeCell ref="T113:U113"/>
    <mergeCell ref="F114:G114"/>
    <mergeCell ref="O114:P114"/>
    <mergeCell ref="T114:U114"/>
    <mergeCell ref="F111:G111"/>
    <mergeCell ref="O111:P111"/>
    <mergeCell ref="T111:U111"/>
    <mergeCell ref="F112:G112"/>
    <mergeCell ref="O112:P112"/>
    <mergeCell ref="T112:U112"/>
    <mergeCell ref="F109:G109"/>
    <mergeCell ref="O109:P109"/>
    <mergeCell ref="T109:U109"/>
    <mergeCell ref="F110:G110"/>
    <mergeCell ref="O110:P110"/>
    <mergeCell ref="T110:U110"/>
    <mergeCell ref="F107:G107"/>
    <mergeCell ref="O107:P107"/>
    <mergeCell ref="T107:U107"/>
    <mergeCell ref="F108:G108"/>
    <mergeCell ref="O108:P108"/>
    <mergeCell ref="T108:U108"/>
    <mergeCell ref="F105:G105"/>
    <mergeCell ref="O105:P105"/>
    <mergeCell ref="T105:U105"/>
    <mergeCell ref="F106:G106"/>
    <mergeCell ref="O106:P106"/>
    <mergeCell ref="T106:U106"/>
    <mergeCell ref="F103:G103"/>
    <mergeCell ref="O103:P103"/>
    <mergeCell ref="T103:U103"/>
    <mergeCell ref="F104:G104"/>
    <mergeCell ref="O104:P104"/>
    <mergeCell ref="T104:U104"/>
    <mergeCell ref="F101:G101"/>
    <mergeCell ref="O101:P101"/>
    <mergeCell ref="T101:U101"/>
    <mergeCell ref="F102:G102"/>
    <mergeCell ref="O102:P102"/>
    <mergeCell ref="T102:U102"/>
    <mergeCell ref="F99:G99"/>
    <mergeCell ref="O99:P99"/>
    <mergeCell ref="T99:U99"/>
    <mergeCell ref="F100:G100"/>
    <mergeCell ref="O100:P100"/>
    <mergeCell ref="T100:U100"/>
    <mergeCell ref="F97:G97"/>
    <mergeCell ref="O97:P97"/>
    <mergeCell ref="T97:U97"/>
    <mergeCell ref="F98:G98"/>
    <mergeCell ref="O98:P98"/>
    <mergeCell ref="T98:U98"/>
    <mergeCell ref="F95:G95"/>
    <mergeCell ref="O95:P95"/>
    <mergeCell ref="T95:U95"/>
    <mergeCell ref="F96:G96"/>
    <mergeCell ref="O96:P96"/>
    <mergeCell ref="T96:U96"/>
    <mergeCell ref="F93:G93"/>
    <mergeCell ref="O93:P93"/>
    <mergeCell ref="T93:U93"/>
    <mergeCell ref="F94:G94"/>
    <mergeCell ref="O94:P94"/>
    <mergeCell ref="T94:U94"/>
    <mergeCell ref="F91:G91"/>
    <mergeCell ref="O91:P91"/>
    <mergeCell ref="T91:U91"/>
    <mergeCell ref="F92:G92"/>
    <mergeCell ref="O92:P92"/>
    <mergeCell ref="T92:U92"/>
    <mergeCell ref="F89:G89"/>
    <mergeCell ref="O89:P89"/>
    <mergeCell ref="T89:U89"/>
    <mergeCell ref="F90:G90"/>
    <mergeCell ref="O90:P90"/>
    <mergeCell ref="T90:U90"/>
    <mergeCell ref="F87:G87"/>
    <mergeCell ref="O87:P87"/>
    <mergeCell ref="T87:U87"/>
    <mergeCell ref="F88:G88"/>
    <mergeCell ref="O88:P88"/>
    <mergeCell ref="T88:U88"/>
    <mergeCell ref="F85:G85"/>
    <mergeCell ref="O85:P85"/>
    <mergeCell ref="T85:U85"/>
    <mergeCell ref="F86:G86"/>
    <mergeCell ref="O86:P86"/>
    <mergeCell ref="T86:U86"/>
    <mergeCell ref="F83:G83"/>
    <mergeCell ref="O83:P83"/>
    <mergeCell ref="T83:U83"/>
    <mergeCell ref="F84:G84"/>
    <mergeCell ref="O84:P84"/>
    <mergeCell ref="T84:U84"/>
    <mergeCell ref="F81:G81"/>
    <mergeCell ref="O81:P81"/>
    <mergeCell ref="T81:U81"/>
    <mergeCell ref="F82:G82"/>
    <mergeCell ref="O82:P82"/>
    <mergeCell ref="T82:U82"/>
    <mergeCell ref="F79:G79"/>
    <mergeCell ref="O79:P79"/>
    <mergeCell ref="T79:U79"/>
    <mergeCell ref="F80:G80"/>
    <mergeCell ref="O80:P80"/>
    <mergeCell ref="T80:U80"/>
    <mergeCell ref="F77:G77"/>
    <mergeCell ref="O77:P77"/>
    <mergeCell ref="T77:U77"/>
    <mergeCell ref="F78:G78"/>
    <mergeCell ref="O78:P78"/>
    <mergeCell ref="T78:U78"/>
    <mergeCell ref="F75:G75"/>
    <mergeCell ref="O75:P75"/>
    <mergeCell ref="T75:U75"/>
    <mergeCell ref="F76:G76"/>
    <mergeCell ref="O76:P76"/>
    <mergeCell ref="T76:U76"/>
    <mergeCell ref="F73:G73"/>
    <mergeCell ref="O73:P73"/>
    <mergeCell ref="T73:U73"/>
    <mergeCell ref="F74:G74"/>
    <mergeCell ref="O74:P74"/>
    <mergeCell ref="T74:U74"/>
    <mergeCell ref="F71:G71"/>
    <mergeCell ref="O71:P71"/>
    <mergeCell ref="T71:U71"/>
    <mergeCell ref="F72:G72"/>
    <mergeCell ref="O72:P72"/>
    <mergeCell ref="T72:U72"/>
    <mergeCell ref="F69:G69"/>
    <mergeCell ref="O69:P69"/>
    <mergeCell ref="T69:U69"/>
    <mergeCell ref="F70:G70"/>
    <mergeCell ref="O70:P70"/>
    <mergeCell ref="T70:U70"/>
    <mergeCell ref="F67:G67"/>
    <mergeCell ref="O67:P67"/>
    <mergeCell ref="T67:U67"/>
    <mergeCell ref="F68:G68"/>
    <mergeCell ref="O68:P68"/>
    <mergeCell ref="T68:U68"/>
    <mergeCell ref="F65:G65"/>
    <mergeCell ref="O65:P65"/>
    <mergeCell ref="T65:U65"/>
    <mergeCell ref="F66:G66"/>
    <mergeCell ref="O66:P66"/>
    <mergeCell ref="T66:U66"/>
    <mergeCell ref="F63:G63"/>
    <mergeCell ref="O63:P63"/>
    <mergeCell ref="T63:U63"/>
    <mergeCell ref="F64:G64"/>
    <mergeCell ref="O64:P64"/>
    <mergeCell ref="T64:U64"/>
    <mergeCell ref="F61:G61"/>
    <mergeCell ref="O61:P61"/>
    <mergeCell ref="T61:U61"/>
    <mergeCell ref="F62:G62"/>
    <mergeCell ref="O62:P62"/>
    <mergeCell ref="T62:U62"/>
    <mergeCell ref="F59:G59"/>
    <mergeCell ref="O59:P59"/>
    <mergeCell ref="T59:U59"/>
    <mergeCell ref="F60:G60"/>
    <mergeCell ref="O60:P60"/>
    <mergeCell ref="T60:U60"/>
    <mergeCell ref="F57:G57"/>
    <mergeCell ref="O57:P57"/>
    <mergeCell ref="T57:U57"/>
    <mergeCell ref="F58:G58"/>
    <mergeCell ref="O58:P58"/>
    <mergeCell ref="T58:U58"/>
    <mergeCell ref="F55:G55"/>
    <mergeCell ref="O55:P55"/>
    <mergeCell ref="T55:U55"/>
    <mergeCell ref="F56:G56"/>
    <mergeCell ref="O56:P56"/>
    <mergeCell ref="T56:U56"/>
    <mergeCell ref="F53:G53"/>
    <mergeCell ref="O53:P53"/>
    <mergeCell ref="T53:U53"/>
    <mergeCell ref="F54:G54"/>
    <mergeCell ref="O54:P54"/>
    <mergeCell ref="T54:U54"/>
    <mergeCell ref="F51:G51"/>
    <mergeCell ref="O51:P51"/>
    <mergeCell ref="T51:U51"/>
    <mergeCell ref="F52:G52"/>
    <mergeCell ref="O52:P52"/>
    <mergeCell ref="T52:U52"/>
    <mergeCell ref="F49:G49"/>
    <mergeCell ref="O49:P49"/>
    <mergeCell ref="T49:U49"/>
    <mergeCell ref="F50:G50"/>
    <mergeCell ref="O50:P50"/>
    <mergeCell ref="T50:U50"/>
    <mergeCell ref="F47:G47"/>
    <mergeCell ref="O47:P47"/>
    <mergeCell ref="T47:U47"/>
    <mergeCell ref="F48:G48"/>
    <mergeCell ref="O48:P48"/>
    <mergeCell ref="T48:U48"/>
    <mergeCell ref="F45:G45"/>
    <mergeCell ref="O45:P45"/>
    <mergeCell ref="T45:U45"/>
    <mergeCell ref="F46:G46"/>
    <mergeCell ref="O46:P46"/>
    <mergeCell ref="T46:U46"/>
    <mergeCell ref="F43:G43"/>
    <mergeCell ref="O43:P43"/>
    <mergeCell ref="T43:U43"/>
    <mergeCell ref="F44:G44"/>
    <mergeCell ref="O44:P44"/>
    <mergeCell ref="T44:U44"/>
    <mergeCell ref="F41:G41"/>
    <mergeCell ref="O41:P41"/>
    <mergeCell ref="T41:U41"/>
    <mergeCell ref="F42:G42"/>
    <mergeCell ref="O42:P42"/>
    <mergeCell ref="T42:U42"/>
    <mergeCell ref="F39:G39"/>
    <mergeCell ref="O39:P39"/>
    <mergeCell ref="T39:U39"/>
    <mergeCell ref="F40:G40"/>
    <mergeCell ref="O40:P40"/>
    <mergeCell ref="T40:U40"/>
    <mergeCell ref="F37:G37"/>
    <mergeCell ref="O37:P37"/>
    <mergeCell ref="T37:U37"/>
    <mergeCell ref="F38:G38"/>
    <mergeCell ref="O38:P38"/>
    <mergeCell ref="T38:U38"/>
    <mergeCell ref="F35:G35"/>
    <mergeCell ref="O35:P35"/>
    <mergeCell ref="T35:U35"/>
    <mergeCell ref="F36:G36"/>
    <mergeCell ref="O36:P36"/>
    <mergeCell ref="T36:U36"/>
    <mergeCell ref="F33:G33"/>
    <mergeCell ref="O33:P33"/>
    <mergeCell ref="T33:U33"/>
    <mergeCell ref="F34:G34"/>
    <mergeCell ref="O34:P34"/>
    <mergeCell ref="T34:U34"/>
    <mergeCell ref="F31:G31"/>
    <mergeCell ref="O31:P31"/>
    <mergeCell ref="T31:U31"/>
    <mergeCell ref="F32:G32"/>
    <mergeCell ref="O32:P32"/>
    <mergeCell ref="T32:U32"/>
    <mergeCell ref="F29:G29"/>
    <mergeCell ref="O29:P29"/>
    <mergeCell ref="T29:U29"/>
    <mergeCell ref="F30:G30"/>
    <mergeCell ref="O30:P30"/>
    <mergeCell ref="T30:U30"/>
    <mergeCell ref="F27:G27"/>
    <mergeCell ref="O27:P27"/>
    <mergeCell ref="T27:U27"/>
    <mergeCell ref="F28:G28"/>
    <mergeCell ref="O28:P28"/>
    <mergeCell ref="T28:U28"/>
    <mergeCell ref="F25:G25"/>
    <mergeCell ref="O25:P25"/>
    <mergeCell ref="T25:U25"/>
    <mergeCell ref="F26:G26"/>
    <mergeCell ref="O26:P26"/>
    <mergeCell ref="T26:U26"/>
    <mergeCell ref="F23:G23"/>
    <mergeCell ref="O23:P23"/>
    <mergeCell ref="T23:U23"/>
    <mergeCell ref="F24:G24"/>
    <mergeCell ref="O24:P24"/>
    <mergeCell ref="T24:U24"/>
    <mergeCell ref="F21:G21"/>
    <mergeCell ref="O21:P21"/>
    <mergeCell ref="T21:U21"/>
    <mergeCell ref="F22:G22"/>
    <mergeCell ref="O22:P22"/>
    <mergeCell ref="T22:U22"/>
    <mergeCell ref="F19:G19"/>
    <mergeCell ref="O19:P19"/>
    <mergeCell ref="T19:U19"/>
    <mergeCell ref="F20:G20"/>
    <mergeCell ref="O20:P20"/>
    <mergeCell ref="T20:U20"/>
    <mergeCell ref="F17:G17"/>
    <mergeCell ref="O17:P17"/>
    <mergeCell ref="T17:U17"/>
    <mergeCell ref="F18:G18"/>
    <mergeCell ref="O18:P18"/>
    <mergeCell ref="T18:U18"/>
    <mergeCell ref="F15:G15"/>
    <mergeCell ref="O15:P15"/>
    <mergeCell ref="T15:U15"/>
    <mergeCell ref="F16:G16"/>
    <mergeCell ref="O16:P16"/>
    <mergeCell ref="T16:U16"/>
    <mergeCell ref="A12:F12"/>
    <mergeCell ref="F13:G13"/>
    <mergeCell ref="O13:P13"/>
    <mergeCell ref="T13:U13"/>
    <mergeCell ref="F14:G14"/>
    <mergeCell ref="O14:P14"/>
    <mergeCell ref="T14:U14"/>
    <mergeCell ref="A1:F4"/>
    <mergeCell ref="P1:T1"/>
    <mergeCell ref="P3:T3"/>
    <mergeCell ref="P4:T5"/>
    <mergeCell ref="A5:F7"/>
    <mergeCell ref="P7:T9"/>
    <mergeCell ref="A8:F10"/>
  </mergeCells>
  <pageMargins left="0.39370078740157499" right="0.39370078740157499" top="0.39370078740157499" bottom="0.39370078740157499" header="0.39370078740157499" footer="0.39370078740157499"/>
  <pageSetup paperSize="9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68"/>
  <sheetViews>
    <sheetView showGridLines="0" workbookViewId="0">
      <pane ySplit="12" topLeftCell="A124" activePane="bottomLeft" state="frozen"/>
      <selection pane="bottomLeft" activeCell="A164" sqref="A164"/>
    </sheetView>
  </sheetViews>
  <sheetFormatPr defaultRowHeight="15" x14ac:dyDescent="0.25"/>
  <cols>
    <col min="1" max="1" width="8.7109375" customWidth="1"/>
    <col min="2" max="2" width="28.42578125" customWidth="1"/>
    <col min="3" max="3" width="1" customWidth="1"/>
    <col min="4" max="4" width="13.140625" customWidth="1"/>
    <col min="5" max="5" width="1" customWidth="1"/>
    <col min="6" max="6" width="4.140625" customWidth="1"/>
    <col min="7" max="7" width="8.28515625" customWidth="1"/>
    <col min="8" max="8" width="1" customWidth="1"/>
    <col min="9" max="9" width="8.28515625" customWidth="1"/>
    <col min="10" max="10" width="1" customWidth="1"/>
    <col min="11" max="11" width="20.140625" customWidth="1"/>
    <col min="12" max="12" width="1" customWidth="1"/>
    <col min="13" max="13" width="9.140625" customWidth="1"/>
    <col min="14" max="14" width="1" customWidth="1"/>
    <col min="15" max="15" width="6.140625" customWidth="1"/>
    <col min="16" max="16" width="5.7109375" customWidth="1"/>
    <col min="17" max="17" width="1" customWidth="1"/>
    <col min="18" max="18" width="11.7109375" customWidth="1"/>
    <col min="19" max="19" width="1" customWidth="1"/>
    <col min="20" max="20" width="16.5703125" customWidth="1"/>
    <col min="21" max="21" width="0.140625" customWidth="1"/>
    <col min="22" max="23" width="0" hidden="1" customWidth="1"/>
  </cols>
  <sheetData>
    <row r="1" spans="1:21" ht="2.1" customHeight="1" x14ac:dyDescent="0.25">
      <c r="A1" s="28" t="s">
        <v>0</v>
      </c>
      <c r="B1" s="24"/>
      <c r="C1" s="24"/>
      <c r="D1" s="24"/>
      <c r="E1" s="24"/>
      <c r="F1" s="24"/>
      <c r="P1" s="29" t="s">
        <v>1</v>
      </c>
      <c r="Q1" s="24"/>
      <c r="R1" s="24"/>
      <c r="S1" s="24"/>
      <c r="T1" s="24"/>
    </row>
    <row r="2" spans="1:21" ht="0.75" customHeight="1" x14ac:dyDescent="0.25">
      <c r="A2" s="24"/>
      <c r="B2" s="24"/>
      <c r="C2" s="24"/>
      <c r="D2" s="24"/>
      <c r="E2" s="24"/>
      <c r="F2" s="24"/>
    </row>
    <row r="3" spans="1:21" ht="12" customHeight="1" x14ac:dyDescent="0.25">
      <c r="A3" s="24"/>
      <c r="B3" s="24"/>
      <c r="C3" s="24"/>
      <c r="D3" s="24"/>
      <c r="E3" s="24"/>
      <c r="F3" s="24"/>
      <c r="P3" s="30" t="s">
        <v>2</v>
      </c>
      <c r="Q3" s="24"/>
      <c r="R3" s="24"/>
      <c r="S3" s="24"/>
      <c r="T3" s="24"/>
    </row>
    <row r="4" spans="1:21" ht="5.25" customHeight="1" x14ac:dyDescent="0.25">
      <c r="A4" s="24"/>
      <c r="B4" s="24"/>
      <c r="C4" s="24"/>
      <c r="D4" s="24"/>
      <c r="E4" s="24"/>
      <c r="F4" s="24"/>
      <c r="P4" s="31" t="s">
        <v>158</v>
      </c>
      <c r="Q4" s="24"/>
      <c r="R4" s="24"/>
      <c r="S4" s="24"/>
      <c r="T4" s="24"/>
    </row>
    <row r="5" spans="1:21" x14ac:dyDescent="0.25">
      <c r="A5" s="23" t="s">
        <v>1</v>
      </c>
      <c r="B5" s="24"/>
      <c r="C5" s="24"/>
      <c r="D5" s="24"/>
      <c r="E5" s="24"/>
      <c r="F5" s="24"/>
      <c r="P5" s="24"/>
      <c r="Q5" s="24"/>
      <c r="R5" s="24"/>
      <c r="S5" s="24"/>
      <c r="T5" s="24"/>
    </row>
    <row r="6" spans="1:21" x14ac:dyDescent="0.25">
      <c r="A6" s="24"/>
      <c r="B6" s="24"/>
      <c r="C6" s="24"/>
      <c r="D6" s="24"/>
      <c r="E6" s="24"/>
      <c r="F6" s="24"/>
    </row>
    <row r="7" spans="1:21" x14ac:dyDescent="0.25">
      <c r="A7" s="24"/>
      <c r="B7" s="24"/>
      <c r="C7" s="24"/>
      <c r="D7" s="24"/>
      <c r="E7" s="24"/>
      <c r="F7" s="24"/>
      <c r="P7" s="31" t="s">
        <v>4</v>
      </c>
      <c r="Q7" s="24"/>
      <c r="R7" s="24"/>
      <c r="S7" s="24"/>
      <c r="T7" s="24"/>
    </row>
    <row r="8" spans="1:21" x14ac:dyDescent="0.25">
      <c r="A8" s="32" t="s">
        <v>5</v>
      </c>
      <c r="B8" s="24"/>
      <c r="C8" s="24"/>
      <c r="D8" s="24"/>
      <c r="E8" s="24"/>
      <c r="F8" s="24"/>
      <c r="P8" s="24"/>
      <c r="Q8" s="24"/>
      <c r="R8" s="24"/>
      <c r="S8" s="24"/>
      <c r="T8" s="24"/>
    </row>
    <row r="9" spans="1:21" x14ac:dyDescent="0.25">
      <c r="A9" s="24"/>
      <c r="B9" s="24"/>
      <c r="C9" s="24"/>
      <c r="D9" s="24"/>
      <c r="E9" s="24"/>
      <c r="F9" s="24"/>
      <c r="P9" s="24"/>
      <c r="Q9" s="24"/>
      <c r="R9" s="24"/>
      <c r="S9" s="24"/>
      <c r="T9" s="24"/>
    </row>
    <row r="10" spans="1:21" ht="3.2" customHeight="1" x14ac:dyDescent="0.25">
      <c r="A10" s="24"/>
      <c r="B10" s="24"/>
      <c r="C10" s="24"/>
      <c r="D10" s="24"/>
      <c r="E10" s="24"/>
      <c r="F10" s="24"/>
    </row>
    <row r="11" spans="1:21" ht="0" hidden="1" customHeight="1" x14ac:dyDescent="0.25"/>
    <row r="12" spans="1:21" ht="24.95" customHeight="1" x14ac:dyDescent="0.25">
      <c r="A12" s="23" t="s">
        <v>1</v>
      </c>
      <c r="B12" s="24"/>
      <c r="C12" s="24"/>
      <c r="D12" s="24"/>
      <c r="E12" s="24"/>
      <c r="F12" s="24"/>
    </row>
    <row r="13" spans="1:21" ht="22.5" x14ac:dyDescent="0.25">
      <c r="A13" s="2" t="s">
        <v>6</v>
      </c>
      <c r="B13" s="3" t="s">
        <v>7</v>
      </c>
      <c r="C13" s="3" t="s">
        <v>1</v>
      </c>
      <c r="D13" s="3" t="s">
        <v>8</v>
      </c>
      <c r="E13" s="3" t="s">
        <v>1</v>
      </c>
      <c r="F13" s="25" t="s">
        <v>9</v>
      </c>
      <c r="G13" s="24"/>
      <c r="H13" s="3" t="s">
        <v>1</v>
      </c>
      <c r="I13" s="3" t="s">
        <v>10</v>
      </c>
      <c r="J13" s="3" t="s">
        <v>1</v>
      </c>
      <c r="K13" s="3" t="s">
        <v>11</v>
      </c>
      <c r="L13" s="3" t="s">
        <v>1</v>
      </c>
      <c r="M13" s="3" t="s">
        <v>12</v>
      </c>
      <c r="N13" s="3" t="s">
        <v>1</v>
      </c>
      <c r="O13" s="25" t="s">
        <v>13</v>
      </c>
      <c r="P13" s="24"/>
      <c r="Q13" s="3" t="s">
        <v>1</v>
      </c>
      <c r="R13" s="3" t="s">
        <v>14</v>
      </c>
      <c r="S13" s="3" t="s">
        <v>1</v>
      </c>
      <c r="T13" s="25" t="s">
        <v>15</v>
      </c>
      <c r="U13" s="24"/>
    </row>
    <row r="14" spans="1:21" x14ac:dyDescent="0.25">
      <c r="A14" s="4" t="s">
        <v>1</v>
      </c>
      <c r="B14" s="4" t="s">
        <v>1</v>
      </c>
      <c r="C14" s="4" t="s">
        <v>1</v>
      </c>
      <c r="D14" s="4" t="s">
        <v>1</v>
      </c>
      <c r="E14" s="4" t="s">
        <v>1</v>
      </c>
      <c r="F14" s="26" t="s">
        <v>1</v>
      </c>
      <c r="G14" s="27"/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26" t="s">
        <v>1</v>
      </c>
      <c r="P14" s="27"/>
      <c r="Q14" s="4" t="s">
        <v>1</v>
      </c>
      <c r="R14" s="4" t="s">
        <v>1</v>
      </c>
      <c r="S14" s="4" t="s">
        <v>1</v>
      </c>
      <c r="T14" s="26" t="s">
        <v>1</v>
      </c>
      <c r="U14" s="27"/>
    </row>
    <row r="15" spans="1:21" x14ac:dyDescent="0.25">
      <c r="A15" s="3" t="s">
        <v>1</v>
      </c>
      <c r="B15" s="3" t="s">
        <v>1</v>
      </c>
      <c r="C15" s="3" t="s">
        <v>1</v>
      </c>
      <c r="D15" s="3" t="s">
        <v>1</v>
      </c>
      <c r="E15" s="3" t="s">
        <v>1</v>
      </c>
      <c r="F15" s="25" t="s">
        <v>1</v>
      </c>
      <c r="G15" s="24"/>
      <c r="H15" s="3" t="s">
        <v>1</v>
      </c>
      <c r="I15" s="3" t="s">
        <v>1</v>
      </c>
      <c r="J15" s="3" t="s">
        <v>1</v>
      </c>
      <c r="K15" s="3" t="s">
        <v>1</v>
      </c>
      <c r="L15" s="3" t="s">
        <v>1</v>
      </c>
      <c r="M15" s="3" t="s">
        <v>1</v>
      </c>
      <c r="N15" s="3" t="s">
        <v>1</v>
      </c>
      <c r="O15" s="25" t="s">
        <v>1</v>
      </c>
      <c r="P15" s="24"/>
      <c r="Q15" s="3" t="s">
        <v>1</v>
      </c>
      <c r="R15" s="3" t="s">
        <v>1</v>
      </c>
      <c r="S15" s="3" t="s">
        <v>1</v>
      </c>
      <c r="T15" s="25" t="s">
        <v>1</v>
      </c>
      <c r="U15" s="24"/>
    </row>
    <row r="16" spans="1:21" x14ac:dyDescent="0.25">
      <c r="A16" s="3" t="s">
        <v>1</v>
      </c>
      <c r="B16" s="3" t="s">
        <v>1</v>
      </c>
      <c r="C16" s="3" t="s">
        <v>1</v>
      </c>
      <c r="D16" s="3" t="s">
        <v>1</v>
      </c>
      <c r="E16" s="3" t="s">
        <v>1</v>
      </c>
      <c r="F16" s="25" t="s">
        <v>1</v>
      </c>
      <c r="G16" s="24"/>
      <c r="H16" s="3" t="s">
        <v>1</v>
      </c>
      <c r="I16" s="3" t="s">
        <v>1</v>
      </c>
      <c r="J16" s="3" t="s">
        <v>1</v>
      </c>
      <c r="K16" s="3" t="s">
        <v>1</v>
      </c>
      <c r="L16" s="3" t="s">
        <v>1</v>
      </c>
      <c r="M16" s="3" t="s">
        <v>1</v>
      </c>
      <c r="N16" s="3" t="s">
        <v>1</v>
      </c>
      <c r="O16" s="25" t="s">
        <v>1</v>
      </c>
      <c r="P16" s="24"/>
      <c r="Q16" s="3" t="s">
        <v>1</v>
      </c>
      <c r="R16" s="3" t="s">
        <v>1</v>
      </c>
      <c r="S16" s="3" t="s">
        <v>1</v>
      </c>
      <c r="T16" s="25" t="s">
        <v>1</v>
      </c>
      <c r="U16" s="24"/>
    </row>
    <row r="17" spans="1:25" x14ac:dyDescent="0.25">
      <c r="A17" s="10">
        <v>3000</v>
      </c>
      <c r="B17" s="5" t="s">
        <v>159</v>
      </c>
      <c r="C17" s="6" t="s">
        <v>1</v>
      </c>
      <c r="D17" s="5" t="s">
        <v>140</v>
      </c>
      <c r="E17" s="6" t="s">
        <v>1</v>
      </c>
      <c r="F17" s="33" t="s">
        <v>18</v>
      </c>
      <c r="G17" s="24"/>
      <c r="H17" s="1" t="s">
        <v>1</v>
      </c>
      <c r="I17" s="7" t="s">
        <v>1</v>
      </c>
      <c r="J17" s="6" t="s">
        <v>1</v>
      </c>
      <c r="K17" s="5" t="s">
        <v>1</v>
      </c>
      <c r="L17" s="6" t="s">
        <v>1</v>
      </c>
      <c r="M17" s="5" t="s">
        <v>19</v>
      </c>
      <c r="N17" s="6" t="s">
        <v>1</v>
      </c>
      <c r="O17" s="33" t="s">
        <v>1</v>
      </c>
      <c r="P17" s="24"/>
      <c r="Q17" s="6" t="s">
        <v>1</v>
      </c>
      <c r="R17" s="5" t="s">
        <v>1</v>
      </c>
      <c r="S17" s="1" t="s">
        <v>1</v>
      </c>
      <c r="T17" s="34" t="s">
        <v>20</v>
      </c>
      <c r="U17" s="24"/>
      <c r="X17" t="e">
        <f>VLOOKUP(A17,'Ark1'!A:C,1,FALSE)</f>
        <v>#N/A</v>
      </c>
      <c r="Y17" t="e">
        <f>VLOOKUP(A17,'Ark1'!A:B,2,FALSE)</f>
        <v>#N/A</v>
      </c>
    </row>
    <row r="18" spans="1:25" x14ac:dyDescent="0.25">
      <c r="A18" s="1" t="s">
        <v>1</v>
      </c>
      <c r="B18" s="1" t="s">
        <v>1</v>
      </c>
      <c r="C18" s="1" t="s">
        <v>1</v>
      </c>
      <c r="D18" s="1" t="s">
        <v>1</v>
      </c>
      <c r="E18" s="1" t="s">
        <v>1</v>
      </c>
      <c r="F18" s="32" t="s">
        <v>1</v>
      </c>
      <c r="G18" s="24"/>
      <c r="H18" s="1" t="s">
        <v>1</v>
      </c>
      <c r="I18" s="1" t="s">
        <v>1</v>
      </c>
      <c r="J18" s="1" t="s">
        <v>1</v>
      </c>
      <c r="K18" s="1" t="s">
        <v>1</v>
      </c>
      <c r="L18" s="1" t="s">
        <v>1</v>
      </c>
      <c r="M18" s="1" t="s">
        <v>1</v>
      </c>
      <c r="N18" s="1" t="s">
        <v>1</v>
      </c>
      <c r="O18" s="32" t="s">
        <v>1</v>
      </c>
      <c r="P18" s="24"/>
      <c r="Q18" s="1" t="s">
        <v>1</v>
      </c>
      <c r="R18" s="1" t="s">
        <v>1</v>
      </c>
      <c r="S18" s="1" t="s">
        <v>1</v>
      </c>
      <c r="T18" s="32" t="s">
        <v>1</v>
      </c>
      <c r="U18" s="24"/>
      <c r="X18" t="e">
        <f>VLOOKUP(A18,'Ark1'!A:C,1,FALSE)</f>
        <v>#N/A</v>
      </c>
      <c r="Y18" t="e">
        <f>VLOOKUP(A18,'Ark1'!A:B,2,FALSE)</f>
        <v>#N/A</v>
      </c>
    </row>
    <row r="19" spans="1:25" x14ac:dyDescent="0.25">
      <c r="A19" s="11">
        <v>3002</v>
      </c>
      <c r="B19" s="8" t="s">
        <v>160</v>
      </c>
      <c r="C19" s="6" t="s">
        <v>1</v>
      </c>
      <c r="D19" s="8" t="s">
        <v>140</v>
      </c>
      <c r="E19" s="6" t="s">
        <v>1</v>
      </c>
      <c r="F19" s="35" t="s">
        <v>22</v>
      </c>
      <c r="G19" s="24"/>
      <c r="H19" s="1" t="s">
        <v>1</v>
      </c>
      <c r="I19" s="9" t="s">
        <v>1</v>
      </c>
      <c r="J19" s="6" t="s">
        <v>1</v>
      </c>
      <c r="K19" s="8" t="s">
        <v>1</v>
      </c>
      <c r="L19" s="6" t="s">
        <v>1</v>
      </c>
      <c r="M19" s="8" t="s">
        <v>19</v>
      </c>
      <c r="N19" s="6" t="s">
        <v>1</v>
      </c>
      <c r="O19" s="35" t="s">
        <v>1</v>
      </c>
      <c r="P19" s="24"/>
      <c r="Q19" s="6" t="s">
        <v>1</v>
      </c>
      <c r="R19" s="8" t="s">
        <v>1</v>
      </c>
      <c r="S19" s="1" t="s">
        <v>1</v>
      </c>
      <c r="T19" s="36" t="s">
        <v>20</v>
      </c>
      <c r="U19" s="24"/>
      <c r="X19" t="e">
        <f>VLOOKUP(A19,'Ark1'!A:C,1,FALSE)</f>
        <v>#N/A</v>
      </c>
      <c r="Y19" t="e">
        <f>VLOOKUP(A19,'Ark1'!A:B,2,FALSE)</f>
        <v>#N/A</v>
      </c>
    </row>
    <row r="20" spans="1:25" x14ac:dyDescent="0.25">
      <c r="A20" s="10">
        <v>3050</v>
      </c>
      <c r="B20" s="5" t="s">
        <v>161</v>
      </c>
      <c r="C20" s="6" t="s">
        <v>1</v>
      </c>
      <c r="D20" s="5" t="s">
        <v>140</v>
      </c>
      <c r="E20" s="6" t="s">
        <v>1</v>
      </c>
      <c r="F20" s="33" t="s">
        <v>22</v>
      </c>
      <c r="G20" s="24"/>
      <c r="H20" s="1" t="s">
        <v>1</v>
      </c>
      <c r="I20" s="7" t="s">
        <v>1</v>
      </c>
      <c r="J20" s="6" t="s">
        <v>1</v>
      </c>
      <c r="K20" s="5" t="s">
        <v>1</v>
      </c>
      <c r="L20" s="6" t="s">
        <v>1</v>
      </c>
      <c r="M20" s="5" t="s">
        <v>19</v>
      </c>
      <c r="N20" s="6" t="s">
        <v>1</v>
      </c>
      <c r="O20" s="33" t="s">
        <v>1</v>
      </c>
      <c r="P20" s="24"/>
      <c r="Q20" s="6" t="s">
        <v>1</v>
      </c>
      <c r="R20" s="5" t="s">
        <v>1</v>
      </c>
      <c r="S20" s="1" t="s">
        <v>1</v>
      </c>
      <c r="T20" s="34" t="s">
        <v>20</v>
      </c>
      <c r="U20" s="24"/>
      <c r="X20" t="e">
        <f>VLOOKUP(A20,'Ark1'!A:C,1,FALSE)</f>
        <v>#N/A</v>
      </c>
      <c r="Y20" t="e">
        <f>VLOOKUP(A20,'Ark1'!A:B,2,FALSE)</f>
        <v>#N/A</v>
      </c>
    </row>
    <row r="21" spans="1:25" ht="21" x14ac:dyDescent="0.25">
      <c r="A21" s="12">
        <v>3051</v>
      </c>
      <c r="B21" s="9" t="s">
        <v>162</v>
      </c>
      <c r="C21" s="1" t="s">
        <v>1</v>
      </c>
      <c r="D21" s="9" t="s">
        <v>140</v>
      </c>
      <c r="E21" s="1" t="s">
        <v>1</v>
      </c>
      <c r="F21" s="36" t="s">
        <v>27</v>
      </c>
      <c r="G21" s="24"/>
      <c r="H21" s="1" t="s">
        <v>1</v>
      </c>
      <c r="I21" s="9" t="s">
        <v>28</v>
      </c>
      <c r="J21" s="1" t="s">
        <v>1</v>
      </c>
      <c r="K21" s="9" t="s">
        <v>1</v>
      </c>
      <c r="L21" s="1" t="s">
        <v>1</v>
      </c>
      <c r="M21" s="9" t="s">
        <v>34</v>
      </c>
      <c r="N21" s="1" t="s">
        <v>1</v>
      </c>
      <c r="O21" s="36" t="s">
        <v>31</v>
      </c>
      <c r="P21" s="24"/>
      <c r="Q21" s="1" t="s">
        <v>1</v>
      </c>
      <c r="R21" s="9" t="s">
        <v>163</v>
      </c>
      <c r="S21" s="1" t="s">
        <v>1</v>
      </c>
      <c r="T21" s="36" t="s">
        <v>1</v>
      </c>
      <c r="U21" s="24"/>
      <c r="X21">
        <f>VLOOKUP(A21,'Ark1'!A:C,1,FALSE)</f>
        <v>3051</v>
      </c>
      <c r="Y21" t="str">
        <f>VLOOKUP(A21,'Ark1'!A:B,2,FALSE)</f>
        <v>Försäljning E handel</v>
      </c>
    </row>
    <row r="22" spans="1:25" ht="21" x14ac:dyDescent="0.25">
      <c r="A22" s="13">
        <v>3055</v>
      </c>
      <c r="B22" s="7" t="s">
        <v>164</v>
      </c>
      <c r="C22" s="1" t="s">
        <v>1</v>
      </c>
      <c r="D22" s="7" t="s">
        <v>140</v>
      </c>
      <c r="E22" s="1" t="s">
        <v>1</v>
      </c>
      <c r="F22" s="34" t="s">
        <v>27</v>
      </c>
      <c r="G22" s="24"/>
      <c r="H22" s="1" t="s">
        <v>1</v>
      </c>
      <c r="I22" s="7" t="s">
        <v>28</v>
      </c>
      <c r="J22" s="1" t="s">
        <v>1</v>
      </c>
      <c r="K22" s="7" t="s">
        <v>1</v>
      </c>
      <c r="L22" s="1" t="s">
        <v>1</v>
      </c>
      <c r="M22" s="7" t="s">
        <v>34</v>
      </c>
      <c r="N22" s="1" t="s">
        <v>1</v>
      </c>
      <c r="O22" s="34" t="s">
        <v>165</v>
      </c>
      <c r="P22" s="24"/>
      <c r="Q22" s="1" t="s">
        <v>1</v>
      </c>
      <c r="R22" s="7" t="s">
        <v>163</v>
      </c>
      <c r="S22" s="1" t="s">
        <v>1</v>
      </c>
      <c r="T22" s="34" t="s">
        <v>1</v>
      </c>
      <c r="U22" s="24"/>
      <c r="X22" t="e">
        <f>VLOOKUP(A22,'Ark1'!A:C,1,FALSE)</f>
        <v>#N/A</v>
      </c>
      <c r="Y22" t="e">
        <f>VLOOKUP(A22,'Ark1'!A:B,2,FALSE)</f>
        <v>#N/A</v>
      </c>
    </row>
    <row r="23" spans="1:25" ht="21" x14ac:dyDescent="0.25">
      <c r="A23" s="12">
        <v>3056</v>
      </c>
      <c r="B23" s="9" t="s">
        <v>166</v>
      </c>
      <c r="C23" s="1" t="s">
        <v>1</v>
      </c>
      <c r="D23" s="9" t="s">
        <v>140</v>
      </c>
      <c r="E23" s="1" t="s">
        <v>1</v>
      </c>
      <c r="F23" s="36" t="s">
        <v>27</v>
      </c>
      <c r="G23" s="24"/>
      <c r="H23" s="1" t="s">
        <v>1</v>
      </c>
      <c r="I23" s="9" t="s">
        <v>28</v>
      </c>
      <c r="J23" s="1" t="s">
        <v>1</v>
      </c>
      <c r="K23" s="9" t="s">
        <v>1</v>
      </c>
      <c r="L23" s="1" t="s">
        <v>1</v>
      </c>
      <c r="M23" s="9" t="s">
        <v>34</v>
      </c>
      <c r="N23" s="1" t="s">
        <v>1</v>
      </c>
      <c r="O23" s="36" t="s">
        <v>167</v>
      </c>
      <c r="P23" s="24"/>
      <c r="Q23" s="1" t="s">
        <v>1</v>
      </c>
      <c r="R23" s="9" t="s">
        <v>163</v>
      </c>
      <c r="S23" s="1" t="s">
        <v>1</v>
      </c>
      <c r="T23" s="36" t="s">
        <v>1</v>
      </c>
      <c r="U23" s="24"/>
      <c r="X23" t="e">
        <f>VLOOKUP(A23,'Ark1'!A:C,1,FALSE)</f>
        <v>#N/A</v>
      </c>
      <c r="Y23" t="e">
        <f>VLOOKUP(A23,'Ark1'!A:B,2,FALSE)</f>
        <v>#N/A</v>
      </c>
    </row>
    <row r="24" spans="1:25" x14ac:dyDescent="0.25">
      <c r="A24" s="13">
        <v>3057</v>
      </c>
      <c r="B24" s="7" t="s">
        <v>168</v>
      </c>
      <c r="C24" s="1" t="s">
        <v>1</v>
      </c>
      <c r="D24" s="7" t="s">
        <v>140</v>
      </c>
      <c r="E24" s="1" t="s">
        <v>1</v>
      </c>
      <c r="F24" s="34" t="s">
        <v>27</v>
      </c>
      <c r="G24" s="24"/>
      <c r="H24" s="1" t="s">
        <v>1</v>
      </c>
      <c r="I24" s="7" t="s">
        <v>28</v>
      </c>
      <c r="J24" s="1" t="s">
        <v>1</v>
      </c>
      <c r="K24" s="7" t="s">
        <v>1</v>
      </c>
      <c r="L24" s="1" t="s">
        <v>1</v>
      </c>
      <c r="M24" s="7" t="s">
        <v>19</v>
      </c>
      <c r="N24" s="1" t="s">
        <v>1</v>
      </c>
      <c r="O24" s="34" t="s">
        <v>1</v>
      </c>
      <c r="P24" s="24"/>
      <c r="Q24" s="1" t="s">
        <v>1</v>
      </c>
      <c r="R24" s="7" t="s">
        <v>1</v>
      </c>
      <c r="S24" s="1" t="s">
        <v>1</v>
      </c>
      <c r="T24" s="34" t="s">
        <v>1</v>
      </c>
      <c r="U24" s="24"/>
      <c r="X24" t="e">
        <f>VLOOKUP(A24,'Ark1'!A:C,1,FALSE)</f>
        <v>#N/A</v>
      </c>
      <c r="Y24" t="e">
        <f>VLOOKUP(A24,'Ark1'!A:B,2,FALSE)</f>
        <v>#N/A</v>
      </c>
    </row>
    <row r="25" spans="1:25" x14ac:dyDescent="0.25">
      <c r="A25" s="11">
        <v>3059</v>
      </c>
      <c r="B25" s="8" t="s">
        <v>169</v>
      </c>
      <c r="C25" s="6" t="s">
        <v>1</v>
      </c>
      <c r="D25" s="8" t="s">
        <v>140</v>
      </c>
      <c r="E25" s="6" t="s">
        <v>1</v>
      </c>
      <c r="F25" s="35" t="s">
        <v>36</v>
      </c>
      <c r="G25" s="24"/>
      <c r="H25" s="1" t="s">
        <v>1</v>
      </c>
      <c r="I25" s="9" t="s">
        <v>1</v>
      </c>
      <c r="J25" s="6" t="s">
        <v>1</v>
      </c>
      <c r="K25" s="8" t="s">
        <v>170</v>
      </c>
      <c r="L25" s="6" t="s">
        <v>1</v>
      </c>
      <c r="M25" s="8" t="s">
        <v>19</v>
      </c>
      <c r="N25" s="6" t="s">
        <v>1</v>
      </c>
      <c r="O25" s="35" t="s">
        <v>1</v>
      </c>
      <c r="P25" s="24"/>
      <c r="Q25" s="6" t="s">
        <v>1</v>
      </c>
      <c r="R25" s="8" t="s">
        <v>1</v>
      </c>
      <c r="S25" s="1" t="s">
        <v>1</v>
      </c>
      <c r="T25" s="36" t="s">
        <v>20</v>
      </c>
      <c r="U25" s="24"/>
      <c r="X25" t="e">
        <f>VLOOKUP(A25,'Ark1'!A:C,1,FALSE)</f>
        <v>#N/A</v>
      </c>
      <c r="Y25" t="e">
        <f>VLOOKUP(A25,'Ark1'!A:B,2,FALSE)</f>
        <v>#N/A</v>
      </c>
    </row>
    <row r="26" spans="1:25" x14ac:dyDescent="0.25">
      <c r="A26" s="10">
        <v>3060</v>
      </c>
      <c r="B26" s="5" t="s">
        <v>171</v>
      </c>
      <c r="C26" s="6" t="s">
        <v>1</v>
      </c>
      <c r="D26" s="5" t="s">
        <v>140</v>
      </c>
      <c r="E26" s="6" t="s">
        <v>1</v>
      </c>
      <c r="F26" s="33" t="s">
        <v>22</v>
      </c>
      <c r="G26" s="24"/>
      <c r="H26" s="1" t="s">
        <v>1</v>
      </c>
      <c r="I26" s="7" t="s">
        <v>1</v>
      </c>
      <c r="J26" s="6" t="s">
        <v>1</v>
      </c>
      <c r="K26" s="5" t="s">
        <v>1</v>
      </c>
      <c r="L26" s="6" t="s">
        <v>1</v>
      </c>
      <c r="M26" s="5" t="s">
        <v>19</v>
      </c>
      <c r="N26" s="6" t="s">
        <v>1</v>
      </c>
      <c r="O26" s="33" t="s">
        <v>1</v>
      </c>
      <c r="P26" s="24"/>
      <c r="Q26" s="6" t="s">
        <v>1</v>
      </c>
      <c r="R26" s="5" t="s">
        <v>1</v>
      </c>
      <c r="S26" s="1" t="s">
        <v>1</v>
      </c>
      <c r="T26" s="34" t="s">
        <v>20</v>
      </c>
      <c r="U26" s="24"/>
      <c r="X26" t="e">
        <f>VLOOKUP(A26,'Ark1'!A:C,1,FALSE)</f>
        <v>#N/A</v>
      </c>
      <c r="Y26" t="e">
        <f>VLOOKUP(A26,'Ark1'!A:B,2,FALSE)</f>
        <v>#N/A</v>
      </c>
    </row>
    <row r="27" spans="1:25" ht="21" x14ac:dyDescent="0.25">
      <c r="A27" s="12">
        <v>3061</v>
      </c>
      <c r="B27" s="9" t="s">
        <v>172</v>
      </c>
      <c r="C27" s="1" t="s">
        <v>1</v>
      </c>
      <c r="D27" s="9" t="s">
        <v>140</v>
      </c>
      <c r="E27" s="1" t="s">
        <v>1</v>
      </c>
      <c r="F27" s="36" t="s">
        <v>27</v>
      </c>
      <c r="G27" s="24"/>
      <c r="H27" s="1" t="s">
        <v>1</v>
      </c>
      <c r="I27" s="9" t="s">
        <v>28</v>
      </c>
      <c r="J27" s="1" t="s">
        <v>1</v>
      </c>
      <c r="K27" s="9" t="s">
        <v>1</v>
      </c>
      <c r="L27" s="1" t="s">
        <v>1</v>
      </c>
      <c r="M27" s="9" t="s">
        <v>34</v>
      </c>
      <c r="N27" s="1" t="s">
        <v>1</v>
      </c>
      <c r="O27" s="36" t="s">
        <v>31</v>
      </c>
      <c r="P27" s="24"/>
      <c r="Q27" s="1" t="s">
        <v>1</v>
      </c>
      <c r="R27" s="9" t="s">
        <v>173</v>
      </c>
      <c r="S27" s="1" t="s">
        <v>1</v>
      </c>
      <c r="T27" s="36" t="s">
        <v>1</v>
      </c>
      <c r="U27" s="24"/>
      <c r="X27" t="e">
        <f>VLOOKUP(A27,'Ark1'!A:C,1,FALSE)</f>
        <v>#N/A</v>
      </c>
      <c r="Y27" t="e">
        <f>VLOOKUP(A27,'Ark1'!A:B,2,FALSE)</f>
        <v>#N/A</v>
      </c>
    </row>
    <row r="28" spans="1:25" ht="21" x14ac:dyDescent="0.25">
      <c r="A28" s="13">
        <v>3065</v>
      </c>
      <c r="B28" s="7" t="s">
        <v>174</v>
      </c>
      <c r="C28" s="1" t="s">
        <v>1</v>
      </c>
      <c r="D28" s="7" t="s">
        <v>140</v>
      </c>
      <c r="E28" s="1" t="s">
        <v>1</v>
      </c>
      <c r="F28" s="34" t="s">
        <v>27</v>
      </c>
      <c r="G28" s="24"/>
      <c r="H28" s="1" t="s">
        <v>1</v>
      </c>
      <c r="I28" s="7" t="s">
        <v>28</v>
      </c>
      <c r="J28" s="1" t="s">
        <v>1</v>
      </c>
      <c r="K28" s="7" t="s">
        <v>1</v>
      </c>
      <c r="L28" s="1" t="s">
        <v>1</v>
      </c>
      <c r="M28" s="7" t="s">
        <v>34</v>
      </c>
      <c r="N28" s="1" t="s">
        <v>1</v>
      </c>
      <c r="O28" s="34" t="s">
        <v>165</v>
      </c>
      <c r="P28" s="24"/>
      <c r="Q28" s="1" t="s">
        <v>1</v>
      </c>
      <c r="R28" s="7" t="s">
        <v>173</v>
      </c>
      <c r="S28" s="1" t="s">
        <v>1</v>
      </c>
      <c r="T28" s="34" t="s">
        <v>1</v>
      </c>
      <c r="U28" s="24"/>
      <c r="X28" t="e">
        <f>VLOOKUP(A28,'Ark1'!A:C,1,FALSE)</f>
        <v>#N/A</v>
      </c>
      <c r="Y28" t="e">
        <f>VLOOKUP(A28,'Ark1'!A:B,2,FALSE)</f>
        <v>#N/A</v>
      </c>
    </row>
    <row r="29" spans="1:25" ht="21" x14ac:dyDescent="0.25">
      <c r="A29" s="12">
        <v>3066</v>
      </c>
      <c r="B29" s="9" t="s">
        <v>175</v>
      </c>
      <c r="C29" s="1" t="s">
        <v>1</v>
      </c>
      <c r="D29" s="9" t="s">
        <v>140</v>
      </c>
      <c r="E29" s="1" t="s">
        <v>1</v>
      </c>
      <c r="F29" s="36" t="s">
        <v>27</v>
      </c>
      <c r="G29" s="24"/>
      <c r="H29" s="1" t="s">
        <v>1</v>
      </c>
      <c r="I29" s="9" t="s">
        <v>28</v>
      </c>
      <c r="J29" s="1" t="s">
        <v>1</v>
      </c>
      <c r="K29" s="9" t="s">
        <v>1</v>
      </c>
      <c r="L29" s="1" t="s">
        <v>1</v>
      </c>
      <c r="M29" s="9" t="s">
        <v>34</v>
      </c>
      <c r="N29" s="1" t="s">
        <v>1</v>
      </c>
      <c r="O29" s="36" t="s">
        <v>167</v>
      </c>
      <c r="P29" s="24"/>
      <c r="Q29" s="1" t="s">
        <v>1</v>
      </c>
      <c r="R29" s="9" t="s">
        <v>173</v>
      </c>
      <c r="S29" s="1" t="s">
        <v>1</v>
      </c>
      <c r="T29" s="36" t="s">
        <v>1</v>
      </c>
      <c r="U29" s="24"/>
      <c r="X29" t="e">
        <f>VLOOKUP(A29,'Ark1'!A:C,1,FALSE)</f>
        <v>#N/A</v>
      </c>
      <c r="Y29" t="e">
        <f>VLOOKUP(A29,'Ark1'!A:B,2,FALSE)</f>
        <v>#N/A</v>
      </c>
    </row>
    <row r="30" spans="1:25" x14ac:dyDescent="0.25">
      <c r="A30" s="13">
        <v>3067</v>
      </c>
      <c r="B30" s="7" t="s">
        <v>176</v>
      </c>
      <c r="C30" s="1" t="s">
        <v>1</v>
      </c>
      <c r="D30" s="7" t="s">
        <v>140</v>
      </c>
      <c r="E30" s="1" t="s">
        <v>1</v>
      </c>
      <c r="F30" s="34" t="s">
        <v>27</v>
      </c>
      <c r="G30" s="24"/>
      <c r="H30" s="1" t="s">
        <v>1</v>
      </c>
      <c r="I30" s="7" t="s">
        <v>28</v>
      </c>
      <c r="J30" s="1" t="s">
        <v>1</v>
      </c>
      <c r="K30" s="7" t="s">
        <v>1</v>
      </c>
      <c r="L30" s="1" t="s">
        <v>1</v>
      </c>
      <c r="M30" s="7" t="s">
        <v>19</v>
      </c>
      <c r="N30" s="1" t="s">
        <v>1</v>
      </c>
      <c r="O30" s="34" t="s">
        <v>1</v>
      </c>
      <c r="P30" s="24"/>
      <c r="Q30" s="1" t="s">
        <v>1</v>
      </c>
      <c r="R30" s="7" t="s">
        <v>1</v>
      </c>
      <c r="S30" s="1" t="s">
        <v>1</v>
      </c>
      <c r="T30" s="34" t="s">
        <v>1</v>
      </c>
      <c r="U30" s="24"/>
      <c r="X30" t="e">
        <f>VLOOKUP(A30,'Ark1'!A:C,1,FALSE)</f>
        <v>#N/A</v>
      </c>
      <c r="Y30" t="e">
        <f>VLOOKUP(A30,'Ark1'!A:B,2,FALSE)</f>
        <v>#N/A</v>
      </c>
    </row>
    <row r="31" spans="1:25" x14ac:dyDescent="0.25">
      <c r="A31" s="11">
        <v>3069</v>
      </c>
      <c r="B31" s="8" t="s">
        <v>177</v>
      </c>
      <c r="C31" s="6" t="s">
        <v>1</v>
      </c>
      <c r="D31" s="8" t="s">
        <v>140</v>
      </c>
      <c r="E31" s="6" t="s">
        <v>1</v>
      </c>
      <c r="F31" s="35" t="s">
        <v>36</v>
      </c>
      <c r="G31" s="24"/>
      <c r="H31" s="1" t="s">
        <v>1</v>
      </c>
      <c r="I31" s="9" t="s">
        <v>1</v>
      </c>
      <c r="J31" s="6" t="s">
        <v>1</v>
      </c>
      <c r="K31" s="8" t="s">
        <v>178</v>
      </c>
      <c r="L31" s="6" t="s">
        <v>1</v>
      </c>
      <c r="M31" s="8" t="s">
        <v>19</v>
      </c>
      <c r="N31" s="6" t="s">
        <v>1</v>
      </c>
      <c r="O31" s="35" t="s">
        <v>1</v>
      </c>
      <c r="P31" s="24"/>
      <c r="Q31" s="6" t="s">
        <v>1</v>
      </c>
      <c r="R31" s="8" t="s">
        <v>1</v>
      </c>
      <c r="S31" s="1" t="s">
        <v>1</v>
      </c>
      <c r="T31" s="36" t="s">
        <v>20</v>
      </c>
      <c r="U31" s="24"/>
      <c r="X31" t="e">
        <f>VLOOKUP(A31,'Ark1'!A:C,1,FALSE)</f>
        <v>#N/A</v>
      </c>
      <c r="Y31" t="e">
        <f>VLOOKUP(A31,'Ark1'!A:B,2,FALSE)</f>
        <v>#N/A</v>
      </c>
    </row>
    <row r="32" spans="1:25" x14ac:dyDescent="0.25">
      <c r="A32" s="10">
        <v>3070</v>
      </c>
      <c r="B32" s="5" t="s">
        <v>179</v>
      </c>
      <c r="C32" s="6" t="s">
        <v>1</v>
      </c>
      <c r="D32" s="5" t="s">
        <v>140</v>
      </c>
      <c r="E32" s="6" t="s">
        <v>1</v>
      </c>
      <c r="F32" s="33" t="s">
        <v>22</v>
      </c>
      <c r="G32" s="24"/>
      <c r="H32" s="1" t="s">
        <v>1</v>
      </c>
      <c r="I32" s="7" t="s">
        <v>1</v>
      </c>
      <c r="J32" s="6" t="s">
        <v>1</v>
      </c>
      <c r="K32" s="5" t="s">
        <v>1</v>
      </c>
      <c r="L32" s="6" t="s">
        <v>1</v>
      </c>
      <c r="M32" s="5" t="s">
        <v>19</v>
      </c>
      <c r="N32" s="6" t="s">
        <v>1</v>
      </c>
      <c r="O32" s="33" t="s">
        <v>1</v>
      </c>
      <c r="P32" s="24"/>
      <c r="Q32" s="6" t="s">
        <v>1</v>
      </c>
      <c r="R32" s="5" t="s">
        <v>1</v>
      </c>
      <c r="S32" s="1" t="s">
        <v>1</v>
      </c>
      <c r="T32" s="34" t="s">
        <v>20</v>
      </c>
      <c r="U32" s="24"/>
      <c r="X32" t="e">
        <f>VLOOKUP(A32,'Ark1'!A:C,1,FALSE)</f>
        <v>#N/A</v>
      </c>
      <c r="Y32" t="e">
        <f>VLOOKUP(A32,'Ark1'!A:B,2,FALSE)</f>
        <v>#N/A</v>
      </c>
    </row>
    <row r="33" spans="1:25" ht="21" x14ac:dyDescent="0.25">
      <c r="A33" s="12">
        <v>3071</v>
      </c>
      <c r="B33" s="9" t="s">
        <v>180</v>
      </c>
      <c r="C33" s="1" t="s">
        <v>1</v>
      </c>
      <c r="D33" s="9" t="s">
        <v>140</v>
      </c>
      <c r="E33" s="1" t="s">
        <v>1</v>
      </c>
      <c r="F33" s="36" t="s">
        <v>27</v>
      </c>
      <c r="G33" s="24"/>
      <c r="H33" s="1" t="s">
        <v>1</v>
      </c>
      <c r="I33" s="9" t="s">
        <v>28</v>
      </c>
      <c r="J33" s="1" t="s">
        <v>1</v>
      </c>
      <c r="K33" s="9" t="s">
        <v>1</v>
      </c>
      <c r="L33" s="1" t="s">
        <v>1</v>
      </c>
      <c r="M33" s="9" t="s">
        <v>34</v>
      </c>
      <c r="N33" s="1" t="s">
        <v>1</v>
      </c>
      <c r="O33" s="36" t="s">
        <v>31</v>
      </c>
      <c r="P33" s="24"/>
      <c r="Q33" s="1" t="s">
        <v>1</v>
      </c>
      <c r="R33" s="9" t="s">
        <v>181</v>
      </c>
      <c r="S33" s="1" t="s">
        <v>1</v>
      </c>
      <c r="T33" s="36" t="s">
        <v>1</v>
      </c>
      <c r="U33" s="24"/>
      <c r="X33" t="e">
        <f>VLOOKUP(A33,'Ark1'!A:C,1,FALSE)</f>
        <v>#N/A</v>
      </c>
      <c r="Y33" t="e">
        <f>VLOOKUP(A33,'Ark1'!A:B,2,FALSE)</f>
        <v>#N/A</v>
      </c>
    </row>
    <row r="34" spans="1:25" ht="21" x14ac:dyDescent="0.25">
      <c r="A34" s="13">
        <v>3075</v>
      </c>
      <c r="B34" s="7" t="s">
        <v>182</v>
      </c>
      <c r="C34" s="1" t="s">
        <v>1</v>
      </c>
      <c r="D34" s="7" t="s">
        <v>140</v>
      </c>
      <c r="E34" s="1" t="s">
        <v>1</v>
      </c>
      <c r="F34" s="34" t="s">
        <v>27</v>
      </c>
      <c r="G34" s="24"/>
      <c r="H34" s="1" t="s">
        <v>1</v>
      </c>
      <c r="I34" s="7" t="s">
        <v>28</v>
      </c>
      <c r="J34" s="1" t="s">
        <v>1</v>
      </c>
      <c r="K34" s="7" t="s">
        <v>1</v>
      </c>
      <c r="L34" s="1" t="s">
        <v>1</v>
      </c>
      <c r="M34" s="7" t="s">
        <v>34</v>
      </c>
      <c r="N34" s="1" t="s">
        <v>1</v>
      </c>
      <c r="O34" s="34" t="s">
        <v>165</v>
      </c>
      <c r="P34" s="24"/>
      <c r="Q34" s="1" t="s">
        <v>1</v>
      </c>
      <c r="R34" s="7" t="s">
        <v>181</v>
      </c>
      <c r="S34" s="1" t="s">
        <v>1</v>
      </c>
      <c r="T34" s="34" t="s">
        <v>1</v>
      </c>
      <c r="U34" s="24"/>
      <c r="X34">
        <f>VLOOKUP(A34,'Ark1'!A:C,1,FALSE)</f>
        <v>3075</v>
      </c>
      <c r="Y34" t="str">
        <f>VLOOKUP(A34,'Ark1'!A:B,2,FALSE)</f>
        <v>Detaljhandel e-handel frakt</v>
      </c>
    </row>
    <row r="35" spans="1:25" ht="21" x14ac:dyDescent="0.25">
      <c r="A35" s="12">
        <v>3076</v>
      </c>
      <c r="B35" s="9" t="s">
        <v>183</v>
      </c>
      <c r="C35" s="1" t="s">
        <v>1</v>
      </c>
      <c r="D35" s="9" t="s">
        <v>140</v>
      </c>
      <c r="E35" s="1" t="s">
        <v>1</v>
      </c>
      <c r="F35" s="36" t="s">
        <v>27</v>
      </c>
      <c r="G35" s="24"/>
      <c r="H35" s="1" t="s">
        <v>1</v>
      </c>
      <c r="I35" s="9" t="s">
        <v>28</v>
      </c>
      <c r="J35" s="1" t="s">
        <v>1</v>
      </c>
      <c r="K35" s="9" t="s">
        <v>1</v>
      </c>
      <c r="L35" s="1" t="s">
        <v>1</v>
      </c>
      <c r="M35" s="9" t="s">
        <v>34</v>
      </c>
      <c r="N35" s="1" t="s">
        <v>1</v>
      </c>
      <c r="O35" s="36" t="s">
        <v>167</v>
      </c>
      <c r="P35" s="24"/>
      <c r="Q35" s="1" t="s">
        <v>1</v>
      </c>
      <c r="R35" s="9" t="s">
        <v>181</v>
      </c>
      <c r="S35" s="1" t="s">
        <v>1</v>
      </c>
      <c r="T35" s="36" t="s">
        <v>1</v>
      </c>
      <c r="U35" s="24"/>
      <c r="X35" t="e">
        <f>VLOOKUP(A35,'Ark1'!A:C,1,FALSE)</f>
        <v>#N/A</v>
      </c>
      <c r="Y35" t="e">
        <f>VLOOKUP(A35,'Ark1'!A:B,2,FALSE)</f>
        <v>#N/A</v>
      </c>
    </row>
    <row r="36" spans="1:25" x14ac:dyDescent="0.25">
      <c r="A36" s="13">
        <v>3077</v>
      </c>
      <c r="B36" s="7" t="s">
        <v>184</v>
      </c>
      <c r="C36" s="1" t="s">
        <v>1</v>
      </c>
      <c r="D36" s="7" t="s">
        <v>140</v>
      </c>
      <c r="E36" s="1" t="s">
        <v>1</v>
      </c>
      <c r="F36" s="34" t="s">
        <v>27</v>
      </c>
      <c r="G36" s="24"/>
      <c r="H36" s="1" t="s">
        <v>1</v>
      </c>
      <c r="I36" s="7" t="s">
        <v>28</v>
      </c>
      <c r="J36" s="1" t="s">
        <v>1</v>
      </c>
      <c r="K36" s="7" t="s">
        <v>1</v>
      </c>
      <c r="L36" s="1" t="s">
        <v>1</v>
      </c>
      <c r="M36" s="7" t="s">
        <v>19</v>
      </c>
      <c r="N36" s="1" t="s">
        <v>1</v>
      </c>
      <c r="O36" s="34" t="s">
        <v>1</v>
      </c>
      <c r="P36" s="24"/>
      <c r="Q36" s="1" t="s">
        <v>1</v>
      </c>
      <c r="R36" s="7" t="s">
        <v>1</v>
      </c>
      <c r="S36" s="1" t="s">
        <v>1</v>
      </c>
      <c r="T36" s="34" t="s">
        <v>1</v>
      </c>
      <c r="U36" s="24"/>
      <c r="X36" t="e">
        <f>VLOOKUP(A36,'Ark1'!A:C,1,FALSE)</f>
        <v>#N/A</v>
      </c>
      <c r="Y36" t="e">
        <f>VLOOKUP(A36,'Ark1'!A:B,2,FALSE)</f>
        <v>#N/A</v>
      </c>
    </row>
    <row r="37" spans="1:25" x14ac:dyDescent="0.25">
      <c r="A37" s="11">
        <v>3079</v>
      </c>
      <c r="B37" s="8" t="s">
        <v>185</v>
      </c>
      <c r="C37" s="6" t="s">
        <v>1</v>
      </c>
      <c r="D37" s="8" t="s">
        <v>140</v>
      </c>
      <c r="E37" s="6" t="s">
        <v>1</v>
      </c>
      <c r="F37" s="35" t="s">
        <v>36</v>
      </c>
      <c r="G37" s="24"/>
      <c r="H37" s="1" t="s">
        <v>1</v>
      </c>
      <c r="I37" s="9" t="s">
        <v>1</v>
      </c>
      <c r="J37" s="6" t="s">
        <v>1</v>
      </c>
      <c r="K37" s="8" t="s">
        <v>186</v>
      </c>
      <c r="L37" s="6" t="s">
        <v>1</v>
      </c>
      <c r="M37" s="8" t="s">
        <v>19</v>
      </c>
      <c r="N37" s="6" t="s">
        <v>1</v>
      </c>
      <c r="O37" s="35" t="s">
        <v>1</v>
      </c>
      <c r="P37" s="24"/>
      <c r="Q37" s="6" t="s">
        <v>1</v>
      </c>
      <c r="R37" s="8" t="s">
        <v>1</v>
      </c>
      <c r="S37" s="1" t="s">
        <v>1</v>
      </c>
      <c r="T37" s="36" t="s">
        <v>20</v>
      </c>
      <c r="U37" s="24"/>
      <c r="X37" t="e">
        <f>VLOOKUP(A37,'Ark1'!A:C,1,FALSE)</f>
        <v>#N/A</v>
      </c>
      <c r="Y37" t="e">
        <f>VLOOKUP(A37,'Ark1'!A:B,2,FALSE)</f>
        <v>#N/A</v>
      </c>
    </row>
    <row r="38" spans="1:25" x14ac:dyDescent="0.25">
      <c r="A38" s="10">
        <v>3080</v>
      </c>
      <c r="B38" s="5" t="s">
        <v>187</v>
      </c>
      <c r="C38" s="6" t="s">
        <v>1</v>
      </c>
      <c r="D38" s="5" t="s">
        <v>140</v>
      </c>
      <c r="E38" s="6" t="s">
        <v>1</v>
      </c>
      <c r="F38" s="33" t="s">
        <v>22</v>
      </c>
      <c r="G38" s="24"/>
      <c r="H38" s="1" t="s">
        <v>1</v>
      </c>
      <c r="I38" s="7" t="s">
        <v>1</v>
      </c>
      <c r="J38" s="6" t="s">
        <v>1</v>
      </c>
      <c r="K38" s="5" t="s">
        <v>1</v>
      </c>
      <c r="L38" s="6" t="s">
        <v>1</v>
      </c>
      <c r="M38" s="5" t="s">
        <v>19</v>
      </c>
      <c r="N38" s="6" t="s">
        <v>1</v>
      </c>
      <c r="O38" s="33" t="s">
        <v>1</v>
      </c>
      <c r="P38" s="24"/>
      <c r="Q38" s="6" t="s">
        <v>1</v>
      </c>
      <c r="R38" s="5" t="s">
        <v>1</v>
      </c>
      <c r="S38" s="1" t="s">
        <v>1</v>
      </c>
      <c r="T38" s="34" t="s">
        <v>20</v>
      </c>
      <c r="U38" s="24"/>
      <c r="X38" t="e">
        <f>VLOOKUP(A38,'Ark1'!A:C,1,FALSE)</f>
        <v>#N/A</v>
      </c>
      <c r="Y38" t="e">
        <f>VLOOKUP(A38,'Ark1'!A:B,2,FALSE)</f>
        <v>#N/A</v>
      </c>
    </row>
    <row r="39" spans="1:25" ht="21" x14ac:dyDescent="0.25">
      <c r="A39" s="12">
        <v>3081</v>
      </c>
      <c r="B39" s="9" t="s">
        <v>188</v>
      </c>
      <c r="C39" s="1" t="s">
        <v>1</v>
      </c>
      <c r="D39" s="9" t="s">
        <v>140</v>
      </c>
      <c r="E39" s="1" t="s">
        <v>1</v>
      </c>
      <c r="F39" s="36" t="s">
        <v>27</v>
      </c>
      <c r="G39" s="24"/>
      <c r="H39" s="1" t="s">
        <v>1</v>
      </c>
      <c r="I39" s="9" t="s">
        <v>28</v>
      </c>
      <c r="J39" s="1" t="s">
        <v>1</v>
      </c>
      <c r="K39" s="9" t="s">
        <v>1</v>
      </c>
      <c r="L39" s="1" t="s">
        <v>1</v>
      </c>
      <c r="M39" s="9" t="s">
        <v>34</v>
      </c>
      <c r="N39" s="1" t="s">
        <v>1</v>
      </c>
      <c r="O39" s="36" t="s">
        <v>31</v>
      </c>
      <c r="P39" s="24"/>
      <c r="Q39" s="1" t="s">
        <v>1</v>
      </c>
      <c r="R39" s="9" t="s">
        <v>32</v>
      </c>
      <c r="S39" s="1" t="s">
        <v>1</v>
      </c>
      <c r="T39" s="36" t="s">
        <v>1</v>
      </c>
      <c r="U39" s="24"/>
      <c r="X39" t="e">
        <f>VLOOKUP(A39,'Ark1'!A:C,1,FALSE)</f>
        <v>#N/A</v>
      </c>
      <c r="Y39" t="e">
        <f>VLOOKUP(A39,'Ark1'!A:B,2,FALSE)</f>
        <v>#N/A</v>
      </c>
    </row>
    <row r="40" spans="1:25" x14ac:dyDescent="0.25">
      <c r="A40" s="13">
        <v>3085</v>
      </c>
      <c r="B40" s="7" t="s">
        <v>189</v>
      </c>
      <c r="C40" s="1" t="s">
        <v>1</v>
      </c>
      <c r="D40" s="7" t="s">
        <v>140</v>
      </c>
      <c r="E40" s="1" t="s">
        <v>1</v>
      </c>
      <c r="F40" s="34" t="s">
        <v>27</v>
      </c>
      <c r="G40" s="24"/>
      <c r="H40" s="1" t="s">
        <v>1</v>
      </c>
      <c r="I40" s="7" t="s">
        <v>28</v>
      </c>
      <c r="J40" s="1" t="s">
        <v>1</v>
      </c>
      <c r="K40" s="7" t="s">
        <v>1</v>
      </c>
      <c r="L40" s="1" t="s">
        <v>1</v>
      </c>
      <c r="M40" s="7" t="s">
        <v>19</v>
      </c>
      <c r="N40" s="1" t="s">
        <v>1</v>
      </c>
      <c r="O40" s="34" t="s">
        <v>1</v>
      </c>
      <c r="P40" s="24"/>
      <c r="Q40" s="1" t="s">
        <v>1</v>
      </c>
      <c r="R40" s="7" t="s">
        <v>1</v>
      </c>
      <c r="S40" s="1" t="s">
        <v>1</v>
      </c>
      <c r="T40" s="34" t="s">
        <v>1</v>
      </c>
      <c r="U40" s="24"/>
      <c r="X40" t="e">
        <f>VLOOKUP(A40,'Ark1'!A:C,1,FALSE)</f>
        <v>#N/A</v>
      </c>
      <c r="Y40" t="e">
        <f>VLOOKUP(A40,'Ark1'!A:B,2,FALSE)</f>
        <v>#N/A</v>
      </c>
    </row>
    <row r="41" spans="1:25" x14ac:dyDescent="0.25">
      <c r="A41" s="11">
        <v>3089</v>
      </c>
      <c r="B41" s="8" t="s">
        <v>190</v>
      </c>
      <c r="C41" s="6" t="s">
        <v>1</v>
      </c>
      <c r="D41" s="8" t="s">
        <v>140</v>
      </c>
      <c r="E41" s="6" t="s">
        <v>1</v>
      </c>
      <c r="F41" s="35" t="s">
        <v>36</v>
      </c>
      <c r="G41" s="24"/>
      <c r="H41" s="1" t="s">
        <v>1</v>
      </c>
      <c r="I41" s="9" t="s">
        <v>1</v>
      </c>
      <c r="J41" s="6" t="s">
        <v>1</v>
      </c>
      <c r="K41" s="8" t="s">
        <v>191</v>
      </c>
      <c r="L41" s="6" t="s">
        <v>1</v>
      </c>
      <c r="M41" s="8" t="s">
        <v>19</v>
      </c>
      <c r="N41" s="6" t="s">
        <v>1</v>
      </c>
      <c r="O41" s="35" t="s">
        <v>1</v>
      </c>
      <c r="P41" s="24"/>
      <c r="Q41" s="6" t="s">
        <v>1</v>
      </c>
      <c r="R41" s="8" t="s">
        <v>1</v>
      </c>
      <c r="S41" s="1" t="s">
        <v>1</v>
      </c>
      <c r="T41" s="36" t="s">
        <v>20</v>
      </c>
      <c r="U41" s="24"/>
      <c r="X41" t="e">
        <f>VLOOKUP(A41,'Ark1'!A:C,1,FALSE)</f>
        <v>#N/A</v>
      </c>
      <c r="Y41" t="e">
        <f>VLOOKUP(A41,'Ark1'!A:B,2,FALSE)</f>
        <v>#N/A</v>
      </c>
    </row>
    <row r="42" spans="1:25" ht="21" x14ac:dyDescent="0.25">
      <c r="A42" s="13">
        <v>3090</v>
      </c>
      <c r="B42" s="7" t="s">
        <v>192</v>
      </c>
      <c r="C42" s="1" t="s">
        <v>1</v>
      </c>
      <c r="D42" s="7" t="s">
        <v>140</v>
      </c>
      <c r="E42" s="1" t="s">
        <v>1</v>
      </c>
      <c r="F42" s="34" t="s">
        <v>27</v>
      </c>
      <c r="G42" s="24"/>
      <c r="H42" s="1" t="s">
        <v>1</v>
      </c>
      <c r="I42" s="7" t="s">
        <v>28</v>
      </c>
      <c r="J42" s="1" t="s">
        <v>1</v>
      </c>
      <c r="K42" s="7" t="s">
        <v>1</v>
      </c>
      <c r="L42" s="1" t="s">
        <v>1</v>
      </c>
      <c r="M42" s="7" t="s">
        <v>34</v>
      </c>
      <c r="N42" s="1" t="s">
        <v>1</v>
      </c>
      <c r="O42" s="34" t="s">
        <v>31</v>
      </c>
      <c r="P42" s="24"/>
      <c r="Q42" s="1" t="s">
        <v>1</v>
      </c>
      <c r="R42" s="7" t="s">
        <v>181</v>
      </c>
      <c r="S42" s="1" t="s">
        <v>1</v>
      </c>
      <c r="T42" s="34" t="s">
        <v>1</v>
      </c>
      <c r="U42" s="24"/>
      <c r="X42" t="e">
        <f>VLOOKUP(A42,'Ark1'!A:C,1,FALSE)</f>
        <v>#N/A</v>
      </c>
      <c r="Y42" t="e">
        <f>VLOOKUP(A42,'Ark1'!A:B,2,FALSE)</f>
        <v>#N/A</v>
      </c>
    </row>
    <row r="43" spans="1:25" x14ac:dyDescent="0.25">
      <c r="A43" s="12">
        <v>3091</v>
      </c>
      <c r="B43" s="9" t="s">
        <v>193</v>
      </c>
      <c r="C43" s="1" t="s">
        <v>1</v>
      </c>
      <c r="D43" s="9" t="s">
        <v>140</v>
      </c>
      <c r="E43" s="1" t="s">
        <v>1</v>
      </c>
      <c r="F43" s="36" t="s">
        <v>27</v>
      </c>
      <c r="G43" s="24"/>
      <c r="H43" s="1" t="s">
        <v>1</v>
      </c>
      <c r="I43" s="9" t="s">
        <v>28</v>
      </c>
      <c r="J43" s="1" t="s">
        <v>1</v>
      </c>
      <c r="K43" s="9" t="s">
        <v>1</v>
      </c>
      <c r="L43" s="1" t="s">
        <v>1</v>
      </c>
      <c r="M43" s="9" t="s">
        <v>19</v>
      </c>
      <c r="N43" s="1" t="s">
        <v>1</v>
      </c>
      <c r="O43" s="36" t="s">
        <v>31</v>
      </c>
      <c r="P43" s="24"/>
      <c r="Q43" s="1" t="s">
        <v>1</v>
      </c>
      <c r="R43" s="9" t="s">
        <v>181</v>
      </c>
      <c r="S43" s="1" t="s">
        <v>1</v>
      </c>
      <c r="T43" s="36" t="s">
        <v>1</v>
      </c>
      <c r="U43" s="24"/>
      <c r="X43" t="e">
        <f>VLOOKUP(A43,'Ark1'!A:C,1,FALSE)</f>
        <v>#N/A</v>
      </c>
      <c r="Y43" t="e">
        <f>VLOOKUP(A43,'Ark1'!A:B,2,FALSE)</f>
        <v>#N/A</v>
      </c>
    </row>
    <row r="44" spans="1:25" ht="21" x14ac:dyDescent="0.25">
      <c r="A44" s="13">
        <v>3095</v>
      </c>
      <c r="B44" s="7" t="s">
        <v>194</v>
      </c>
      <c r="C44" s="1" t="s">
        <v>1</v>
      </c>
      <c r="D44" s="7" t="s">
        <v>140</v>
      </c>
      <c r="E44" s="1" t="s">
        <v>1</v>
      </c>
      <c r="F44" s="34" t="s">
        <v>27</v>
      </c>
      <c r="G44" s="24"/>
      <c r="H44" s="1" t="s">
        <v>1</v>
      </c>
      <c r="I44" s="7" t="s">
        <v>28</v>
      </c>
      <c r="J44" s="1" t="s">
        <v>1</v>
      </c>
      <c r="K44" s="7" t="s">
        <v>1</v>
      </c>
      <c r="L44" s="1" t="s">
        <v>1</v>
      </c>
      <c r="M44" s="7" t="s">
        <v>34</v>
      </c>
      <c r="N44" s="1" t="s">
        <v>1</v>
      </c>
      <c r="O44" s="34" t="s">
        <v>31</v>
      </c>
      <c r="P44" s="24"/>
      <c r="Q44" s="1" t="s">
        <v>1</v>
      </c>
      <c r="R44" s="7" t="s">
        <v>32</v>
      </c>
      <c r="S44" s="1" t="s">
        <v>1</v>
      </c>
      <c r="T44" s="34" t="s">
        <v>1</v>
      </c>
      <c r="U44" s="24"/>
      <c r="X44" t="e">
        <f>VLOOKUP(A44,'Ark1'!A:C,1,FALSE)</f>
        <v>#N/A</v>
      </c>
      <c r="Y44" t="e">
        <f>VLOOKUP(A44,'Ark1'!A:B,2,FALSE)</f>
        <v>#N/A</v>
      </c>
    </row>
    <row r="45" spans="1:25" x14ac:dyDescent="0.25">
      <c r="A45" s="12">
        <v>3098</v>
      </c>
      <c r="B45" s="9" t="s">
        <v>195</v>
      </c>
      <c r="C45" s="1" t="s">
        <v>1</v>
      </c>
      <c r="D45" s="9" t="s">
        <v>140</v>
      </c>
      <c r="E45" s="1" t="s">
        <v>1</v>
      </c>
      <c r="F45" s="36" t="s">
        <v>27</v>
      </c>
      <c r="G45" s="24"/>
      <c r="H45" s="1" t="s">
        <v>1</v>
      </c>
      <c r="I45" s="9" t="s">
        <v>28</v>
      </c>
      <c r="J45" s="1" t="s">
        <v>1</v>
      </c>
      <c r="K45" s="9" t="s">
        <v>1</v>
      </c>
      <c r="L45" s="1" t="s">
        <v>1</v>
      </c>
      <c r="M45" s="9" t="s">
        <v>19</v>
      </c>
      <c r="N45" s="1" t="s">
        <v>1</v>
      </c>
      <c r="O45" s="36" t="s">
        <v>1</v>
      </c>
      <c r="P45" s="24"/>
      <c r="Q45" s="1" t="s">
        <v>1</v>
      </c>
      <c r="R45" s="9" t="s">
        <v>1</v>
      </c>
      <c r="S45" s="1" t="s">
        <v>1</v>
      </c>
      <c r="T45" s="36" t="s">
        <v>1</v>
      </c>
      <c r="U45" s="24"/>
      <c r="X45" t="e">
        <f>VLOOKUP(A45,'Ark1'!A:C,1,FALSE)</f>
        <v>#N/A</v>
      </c>
      <c r="Y45" t="e">
        <f>VLOOKUP(A45,'Ark1'!A:B,2,FALSE)</f>
        <v>#N/A</v>
      </c>
    </row>
    <row r="46" spans="1:25" x14ac:dyDescent="0.25">
      <c r="A46" s="13">
        <v>3731</v>
      </c>
      <c r="B46" s="7" t="s">
        <v>196</v>
      </c>
      <c r="C46" s="1" t="s">
        <v>1</v>
      </c>
      <c r="D46" s="7" t="s">
        <v>140</v>
      </c>
      <c r="E46" s="1" t="s">
        <v>1</v>
      </c>
      <c r="F46" s="34" t="s">
        <v>27</v>
      </c>
      <c r="G46" s="24"/>
      <c r="H46" s="1" t="s">
        <v>1</v>
      </c>
      <c r="I46" s="7" t="s">
        <v>28</v>
      </c>
      <c r="J46" s="1" t="s">
        <v>1</v>
      </c>
      <c r="K46" s="7" t="s">
        <v>1</v>
      </c>
      <c r="L46" s="1" t="s">
        <v>1</v>
      </c>
      <c r="M46" s="7" t="s">
        <v>19</v>
      </c>
      <c r="N46" s="1" t="s">
        <v>1</v>
      </c>
      <c r="O46" s="34" t="s">
        <v>1</v>
      </c>
      <c r="P46" s="24"/>
      <c r="Q46" s="1" t="s">
        <v>1</v>
      </c>
      <c r="R46" s="7" t="s">
        <v>1</v>
      </c>
      <c r="S46" s="1" t="s">
        <v>1</v>
      </c>
      <c r="T46" s="34" t="s">
        <v>1</v>
      </c>
      <c r="U46" s="24"/>
      <c r="X46" t="e">
        <f>VLOOKUP(A46,'Ark1'!A:C,1,FALSE)</f>
        <v>#N/A</v>
      </c>
      <c r="Y46" t="e">
        <f>VLOOKUP(A46,'Ark1'!A:B,2,FALSE)</f>
        <v>#N/A</v>
      </c>
    </row>
    <row r="47" spans="1:25" x14ac:dyDescent="0.25">
      <c r="A47" s="12">
        <v>3732</v>
      </c>
      <c r="B47" s="9" t="s">
        <v>197</v>
      </c>
      <c r="C47" s="1" t="s">
        <v>1</v>
      </c>
      <c r="D47" s="9" t="s">
        <v>140</v>
      </c>
      <c r="E47" s="1" t="s">
        <v>1</v>
      </c>
      <c r="F47" s="36" t="s">
        <v>27</v>
      </c>
      <c r="G47" s="24"/>
      <c r="H47" s="1" t="s">
        <v>1</v>
      </c>
      <c r="I47" s="9" t="s">
        <v>28</v>
      </c>
      <c r="J47" s="1" t="s">
        <v>1</v>
      </c>
      <c r="K47" s="9" t="s">
        <v>1</v>
      </c>
      <c r="L47" s="1" t="s">
        <v>1</v>
      </c>
      <c r="M47" s="9" t="s">
        <v>19</v>
      </c>
      <c r="N47" s="1" t="s">
        <v>1</v>
      </c>
      <c r="O47" s="36" t="s">
        <v>1</v>
      </c>
      <c r="P47" s="24"/>
      <c r="Q47" s="1" t="s">
        <v>1</v>
      </c>
      <c r="R47" s="9" t="s">
        <v>1</v>
      </c>
      <c r="S47" s="1" t="s">
        <v>1</v>
      </c>
      <c r="T47" s="36" t="s">
        <v>1</v>
      </c>
      <c r="U47" s="24"/>
      <c r="X47" t="e">
        <f>VLOOKUP(A47,'Ark1'!A:C,1,FALSE)</f>
        <v>#N/A</v>
      </c>
      <c r="Y47" t="e">
        <f>VLOOKUP(A47,'Ark1'!A:B,2,FALSE)</f>
        <v>#N/A</v>
      </c>
    </row>
    <row r="48" spans="1:25" x14ac:dyDescent="0.25">
      <c r="A48" s="13">
        <v>3740</v>
      </c>
      <c r="B48" s="7" t="s">
        <v>198</v>
      </c>
      <c r="C48" s="1" t="s">
        <v>1</v>
      </c>
      <c r="D48" s="7" t="s">
        <v>140</v>
      </c>
      <c r="E48" s="1" t="s">
        <v>1</v>
      </c>
      <c r="F48" s="34" t="s">
        <v>27</v>
      </c>
      <c r="G48" s="24"/>
      <c r="H48" s="1" t="s">
        <v>1</v>
      </c>
      <c r="I48" s="7" t="s">
        <v>28</v>
      </c>
      <c r="J48" s="1" t="s">
        <v>1</v>
      </c>
      <c r="K48" s="7" t="s">
        <v>1</v>
      </c>
      <c r="L48" s="1" t="s">
        <v>1</v>
      </c>
      <c r="M48" s="7" t="s">
        <v>19</v>
      </c>
      <c r="N48" s="1" t="s">
        <v>1</v>
      </c>
      <c r="O48" s="34" t="s">
        <v>31</v>
      </c>
      <c r="P48" s="24"/>
      <c r="Q48" s="1" t="s">
        <v>1</v>
      </c>
      <c r="R48" s="7" t="s">
        <v>199</v>
      </c>
      <c r="S48" s="1" t="s">
        <v>1</v>
      </c>
      <c r="T48" s="34" t="s">
        <v>1</v>
      </c>
      <c r="U48" s="24"/>
      <c r="X48">
        <f>VLOOKUP(A48,'Ark1'!A:C,1,FALSE)</f>
        <v>3740</v>
      </c>
      <c r="Y48" t="str">
        <f>VLOOKUP(A48,'Ark1'!A:B,2,FALSE)</f>
        <v>Öresavrundning</v>
      </c>
    </row>
    <row r="49" spans="1:25" x14ac:dyDescent="0.25">
      <c r="A49" s="11">
        <v>3999</v>
      </c>
      <c r="B49" s="8" t="s">
        <v>200</v>
      </c>
      <c r="C49" s="6" t="s">
        <v>1</v>
      </c>
      <c r="D49" s="8" t="s">
        <v>140</v>
      </c>
      <c r="E49" s="6" t="s">
        <v>1</v>
      </c>
      <c r="F49" s="35" t="s">
        <v>36</v>
      </c>
      <c r="G49" s="24"/>
      <c r="H49" s="1" t="s">
        <v>1</v>
      </c>
      <c r="I49" s="9" t="s">
        <v>1</v>
      </c>
      <c r="J49" s="6" t="s">
        <v>1</v>
      </c>
      <c r="K49" s="8" t="s">
        <v>201</v>
      </c>
      <c r="L49" s="6" t="s">
        <v>1</v>
      </c>
      <c r="M49" s="8" t="s">
        <v>19</v>
      </c>
      <c r="N49" s="6" t="s">
        <v>1</v>
      </c>
      <c r="O49" s="35" t="s">
        <v>1</v>
      </c>
      <c r="P49" s="24"/>
      <c r="Q49" s="6" t="s">
        <v>1</v>
      </c>
      <c r="R49" s="8" t="s">
        <v>1</v>
      </c>
      <c r="S49" s="1" t="s">
        <v>1</v>
      </c>
      <c r="T49" s="36" t="s">
        <v>20</v>
      </c>
      <c r="U49" s="24"/>
      <c r="X49" t="e">
        <f>VLOOKUP(A49,'Ark1'!A:C,1,FALSE)</f>
        <v>#N/A</v>
      </c>
      <c r="Y49" t="e">
        <f>VLOOKUP(A49,'Ark1'!A:B,2,FALSE)</f>
        <v>#N/A</v>
      </c>
    </row>
    <row r="50" spans="1:25" x14ac:dyDescent="0.25">
      <c r="A50" s="1" t="s">
        <v>1</v>
      </c>
      <c r="B50" s="1" t="s">
        <v>1</v>
      </c>
      <c r="C50" s="1" t="s">
        <v>1</v>
      </c>
      <c r="D50" s="1" t="s">
        <v>1</v>
      </c>
      <c r="E50" s="1" t="s">
        <v>1</v>
      </c>
      <c r="F50" s="32" t="s">
        <v>1</v>
      </c>
      <c r="G50" s="24"/>
      <c r="H50" s="1" t="s">
        <v>1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1</v>
      </c>
      <c r="N50" s="1" t="s">
        <v>1</v>
      </c>
      <c r="O50" s="32" t="s">
        <v>1</v>
      </c>
      <c r="P50" s="24"/>
      <c r="Q50" s="1" t="s">
        <v>1</v>
      </c>
      <c r="R50" s="1" t="s">
        <v>1</v>
      </c>
      <c r="S50" s="1" t="s">
        <v>1</v>
      </c>
      <c r="T50" s="32" t="s">
        <v>1</v>
      </c>
      <c r="U50" s="24"/>
      <c r="X50" t="e">
        <f>VLOOKUP(A50,'Ark1'!A:C,1,FALSE)</f>
        <v>#N/A</v>
      </c>
      <c r="Y50" t="e">
        <f>VLOOKUP(A50,'Ark1'!A:B,2,FALSE)</f>
        <v>#N/A</v>
      </c>
    </row>
    <row r="51" spans="1:25" s="17" customFormat="1" x14ac:dyDescent="0.25">
      <c r="A51" s="14">
        <v>4000</v>
      </c>
      <c r="B51" s="15" t="s">
        <v>202</v>
      </c>
      <c r="C51" s="16" t="s">
        <v>1</v>
      </c>
      <c r="D51" s="15" t="s">
        <v>140</v>
      </c>
      <c r="E51" s="16" t="s">
        <v>1</v>
      </c>
      <c r="F51" s="37" t="s">
        <v>22</v>
      </c>
      <c r="G51" s="38"/>
      <c r="H51" s="18" t="s">
        <v>1</v>
      </c>
      <c r="I51" s="19" t="s">
        <v>1</v>
      </c>
      <c r="J51" s="16" t="s">
        <v>1</v>
      </c>
      <c r="K51" s="15" t="s">
        <v>1</v>
      </c>
      <c r="L51" s="16" t="s">
        <v>1</v>
      </c>
      <c r="M51" s="15" t="s">
        <v>19</v>
      </c>
      <c r="N51" s="16" t="s">
        <v>1</v>
      </c>
      <c r="O51" s="37" t="s">
        <v>1</v>
      </c>
      <c r="P51" s="38"/>
      <c r="Q51" s="16" t="s">
        <v>1</v>
      </c>
      <c r="R51" s="15" t="s">
        <v>1</v>
      </c>
      <c r="S51" s="18" t="s">
        <v>1</v>
      </c>
      <c r="T51" s="39" t="s">
        <v>20</v>
      </c>
      <c r="U51" s="38"/>
      <c r="X51" s="17">
        <f>VLOOKUP(A51,'Ark1'!A:C,1,FALSE)</f>
        <v>4000</v>
      </c>
      <c r="Y51" s="17" t="str">
        <f>VLOOKUP(A51,'Ark1'!A:B,2,FALSE)</f>
        <v>Inköp varor</v>
      </c>
    </row>
    <row r="52" spans="1:25" x14ac:dyDescent="0.25">
      <c r="A52" s="11">
        <v>4002</v>
      </c>
      <c r="B52" s="8" t="s">
        <v>203</v>
      </c>
      <c r="C52" s="6" t="s">
        <v>1</v>
      </c>
      <c r="D52" s="8" t="s">
        <v>140</v>
      </c>
      <c r="E52" s="6" t="s">
        <v>1</v>
      </c>
      <c r="F52" s="35" t="s">
        <v>22</v>
      </c>
      <c r="G52" s="24"/>
      <c r="H52" s="1" t="s">
        <v>1</v>
      </c>
      <c r="I52" s="9" t="s">
        <v>1</v>
      </c>
      <c r="J52" s="6" t="s">
        <v>1</v>
      </c>
      <c r="K52" s="8" t="s">
        <v>1</v>
      </c>
      <c r="L52" s="6" t="s">
        <v>1</v>
      </c>
      <c r="M52" s="8" t="s">
        <v>19</v>
      </c>
      <c r="N52" s="6" t="s">
        <v>1</v>
      </c>
      <c r="O52" s="35" t="s">
        <v>1</v>
      </c>
      <c r="P52" s="24"/>
      <c r="Q52" s="6" t="s">
        <v>1</v>
      </c>
      <c r="R52" s="8" t="s">
        <v>1</v>
      </c>
      <c r="S52" s="1" t="s">
        <v>1</v>
      </c>
      <c r="T52" s="36" t="s">
        <v>20</v>
      </c>
      <c r="U52" s="24"/>
      <c r="X52" t="e">
        <f>VLOOKUP(A52,'Ark1'!A:C,1,FALSE)</f>
        <v>#N/A</v>
      </c>
      <c r="Y52" t="e">
        <f>VLOOKUP(A52,'Ark1'!A:B,2,FALSE)</f>
        <v>#N/A</v>
      </c>
    </row>
    <row r="53" spans="1:25" x14ac:dyDescent="0.25">
      <c r="A53" s="13">
        <v>4051</v>
      </c>
      <c r="B53" s="7" t="s">
        <v>204</v>
      </c>
      <c r="C53" s="1" t="s">
        <v>1</v>
      </c>
      <c r="D53" s="7" t="s">
        <v>140</v>
      </c>
      <c r="E53" s="1" t="s">
        <v>1</v>
      </c>
      <c r="F53" s="34" t="s">
        <v>27</v>
      </c>
      <c r="G53" s="24"/>
      <c r="H53" s="1" t="s">
        <v>1</v>
      </c>
      <c r="I53" s="7" t="s">
        <v>28</v>
      </c>
      <c r="J53" s="1" t="s">
        <v>1</v>
      </c>
      <c r="K53" s="7" t="s">
        <v>1</v>
      </c>
      <c r="L53" s="1" t="s">
        <v>1</v>
      </c>
      <c r="M53" s="7" t="s">
        <v>30</v>
      </c>
      <c r="N53" s="1" t="s">
        <v>1</v>
      </c>
      <c r="O53" s="34" t="s">
        <v>31</v>
      </c>
      <c r="P53" s="24"/>
      <c r="Q53" s="1" t="s">
        <v>1</v>
      </c>
      <c r="R53" s="7" t="s">
        <v>163</v>
      </c>
      <c r="S53" s="1" t="s">
        <v>1</v>
      </c>
      <c r="T53" s="34" t="s">
        <v>1</v>
      </c>
      <c r="U53" s="24"/>
      <c r="X53" t="e">
        <f>VLOOKUP(A53,'Ark1'!A:C,1,FALSE)</f>
        <v>#N/A</v>
      </c>
      <c r="Y53" t="e">
        <f>VLOOKUP(A53,'Ark1'!A:B,2,FALSE)</f>
        <v>#N/A</v>
      </c>
    </row>
    <row r="54" spans="1:25" x14ac:dyDescent="0.25">
      <c r="A54" s="12">
        <v>4055</v>
      </c>
      <c r="B54" s="9" t="s">
        <v>205</v>
      </c>
      <c r="C54" s="1" t="s">
        <v>1</v>
      </c>
      <c r="D54" s="9" t="s">
        <v>140</v>
      </c>
      <c r="E54" s="1" t="s">
        <v>1</v>
      </c>
      <c r="F54" s="36" t="s">
        <v>27</v>
      </c>
      <c r="G54" s="24"/>
      <c r="H54" s="1" t="s">
        <v>1</v>
      </c>
      <c r="I54" s="9" t="s">
        <v>28</v>
      </c>
      <c r="J54" s="1" t="s">
        <v>1</v>
      </c>
      <c r="K54" s="9" t="s">
        <v>1</v>
      </c>
      <c r="L54" s="1" t="s">
        <v>1</v>
      </c>
      <c r="M54" s="9" t="s">
        <v>30</v>
      </c>
      <c r="N54" s="1" t="s">
        <v>1</v>
      </c>
      <c r="O54" s="36" t="s">
        <v>165</v>
      </c>
      <c r="P54" s="24"/>
      <c r="Q54" s="1" t="s">
        <v>1</v>
      </c>
      <c r="R54" s="9" t="s">
        <v>163</v>
      </c>
      <c r="S54" s="1" t="s">
        <v>1</v>
      </c>
      <c r="T54" s="36" t="s">
        <v>1</v>
      </c>
      <c r="U54" s="24"/>
      <c r="X54" t="e">
        <f>VLOOKUP(A54,'Ark1'!A:C,1,FALSE)</f>
        <v>#N/A</v>
      </c>
      <c r="Y54" t="e">
        <f>VLOOKUP(A54,'Ark1'!A:B,2,FALSE)</f>
        <v>#N/A</v>
      </c>
    </row>
    <row r="55" spans="1:25" x14ac:dyDescent="0.25">
      <c r="A55" s="13">
        <v>4056</v>
      </c>
      <c r="B55" s="7" t="s">
        <v>206</v>
      </c>
      <c r="C55" s="1" t="s">
        <v>1</v>
      </c>
      <c r="D55" s="7" t="s">
        <v>140</v>
      </c>
      <c r="E55" s="1" t="s">
        <v>1</v>
      </c>
      <c r="F55" s="34" t="s">
        <v>27</v>
      </c>
      <c r="G55" s="24"/>
      <c r="H55" s="1" t="s">
        <v>1</v>
      </c>
      <c r="I55" s="7" t="s">
        <v>28</v>
      </c>
      <c r="J55" s="1" t="s">
        <v>1</v>
      </c>
      <c r="K55" s="7" t="s">
        <v>1</v>
      </c>
      <c r="L55" s="1" t="s">
        <v>1</v>
      </c>
      <c r="M55" s="7" t="s">
        <v>30</v>
      </c>
      <c r="N55" s="1" t="s">
        <v>1</v>
      </c>
      <c r="O55" s="34" t="s">
        <v>167</v>
      </c>
      <c r="P55" s="24"/>
      <c r="Q55" s="1" t="s">
        <v>1</v>
      </c>
      <c r="R55" s="7" t="s">
        <v>163</v>
      </c>
      <c r="S55" s="1" t="s">
        <v>1</v>
      </c>
      <c r="T55" s="34" t="s">
        <v>1</v>
      </c>
      <c r="U55" s="24"/>
      <c r="X55">
        <f>VLOOKUP(A55,'Ark1'!A:C,1,FALSE)</f>
        <v>4056</v>
      </c>
      <c r="Y55" t="str">
        <f>VLOOKUP(A55,'Ark1'!A:B,2,FALSE)</f>
        <v>Inköp tjänster EU</v>
      </c>
    </row>
    <row r="56" spans="1:25" x14ac:dyDescent="0.25">
      <c r="A56" s="12">
        <v>4058</v>
      </c>
      <c r="B56" s="9" t="s">
        <v>207</v>
      </c>
      <c r="C56" s="1" t="s">
        <v>1</v>
      </c>
      <c r="D56" s="9" t="s">
        <v>140</v>
      </c>
      <c r="E56" s="1" t="s">
        <v>1</v>
      </c>
      <c r="F56" s="36" t="s">
        <v>27</v>
      </c>
      <c r="G56" s="24"/>
      <c r="H56" s="1" t="s">
        <v>1</v>
      </c>
      <c r="I56" s="9" t="s">
        <v>28</v>
      </c>
      <c r="J56" s="1" t="s">
        <v>1</v>
      </c>
      <c r="K56" s="9" t="s">
        <v>1</v>
      </c>
      <c r="L56" s="1" t="s">
        <v>1</v>
      </c>
      <c r="M56" s="9" t="s">
        <v>19</v>
      </c>
      <c r="N56" s="1" t="s">
        <v>1</v>
      </c>
      <c r="O56" s="36" t="s">
        <v>1</v>
      </c>
      <c r="P56" s="24"/>
      <c r="Q56" s="1" t="s">
        <v>1</v>
      </c>
      <c r="R56" s="9" t="s">
        <v>1</v>
      </c>
      <c r="S56" s="1" t="s">
        <v>1</v>
      </c>
      <c r="T56" s="36" t="s">
        <v>1</v>
      </c>
      <c r="U56" s="24"/>
      <c r="X56" t="e">
        <f>VLOOKUP(A56,'Ark1'!A:C,1,FALSE)</f>
        <v>#N/A</v>
      </c>
      <c r="Y56" t="e">
        <f>VLOOKUP(A56,'Ark1'!A:B,2,FALSE)</f>
        <v>#N/A</v>
      </c>
    </row>
    <row r="57" spans="1:25" x14ac:dyDescent="0.25">
      <c r="A57" s="13">
        <v>4059</v>
      </c>
      <c r="B57" s="7" t="s">
        <v>208</v>
      </c>
      <c r="C57" s="1" t="s">
        <v>1</v>
      </c>
      <c r="D57" s="7" t="s">
        <v>140</v>
      </c>
      <c r="E57" s="1" t="s">
        <v>1</v>
      </c>
      <c r="F57" s="34" t="s">
        <v>27</v>
      </c>
      <c r="G57" s="24"/>
      <c r="H57" s="1" t="s">
        <v>1</v>
      </c>
      <c r="I57" s="7" t="s">
        <v>28</v>
      </c>
      <c r="J57" s="1" t="s">
        <v>1</v>
      </c>
      <c r="K57" s="7" t="s">
        <v>1</v>
      </c>
      <c r="L57" s="1" t="s">
        <v>1</v>
      </c>
      <c r="M57" s="7" t="s">
        <v>19</v>
      </c>
      <c r="N57" s="1" t="s">
        <v>1</v>
      </c>
      <c r="O57" s="34" t="s">
        <v>1</v>
      </c>
      <c r="P57" s="24"/>
      <c r="Q57" s="1" t="s">
        <v>1</v>
      </c>
      <c r="R57" s="7" t="s">
        <v>1</v>
      </c>
      <c r="S57" s="1" t="s">
        <v>1</v>
      </c>
      <c r="T57" s="34" t="s">
        <v>1</v>
      </c>
      <c r="U57" s="24"/>
      <c r="X57" t="e">
        <f>VLOOKUP(A57,'Ark1'!A:C,1,FALSE)</f>
        <v>#N/A</v>
      </c>
      <c r="Y57" t="e">
        <f>VLOOKUP(A57,'Ark1'!A:B,2,FALSE)</f>
        <v>#N/A</v>
      </c>
    </row>
    <row r="58" spans="1:25" x14ac:dyDescent="0.25">
      <c r="A58" s="12">
        <v>4060</v>
      </c>
      <c r="B58" s="9" t="s">
        <v>209</v>
      </c>
      <c r="C58" s="1" t="s">
        <v>1</v>
      </c>
      <c r="D58" s="9" t="s">
        <v>140</v>
      </c>
      <c r="E58" s="1" t="s">
        <v>1</v>
      </c>
      <c r="F58" s="36" t="s">
        <v>27</v>
      </c>
      <c r="G58" s="24"/>
      <c r="H58" s="1" t="s">
        <v>1</v>
      </c>
      <c r="I58" s="9" t="s">
        <v>28</v>
      </c>
      <c r="J58" s="1" t="s">
        <v>1</v>
      </c>
      <c r="K58" s="9" t="s">
        <v>1</v>
      </c>
      <c r="L58" s="1" t="s">
        <v>1</v>
      </c>
      <c r="M58" s="9" t="s">
        <v>19</v>
      </c>
      <c r="N58" s="1" t="s">
        <v>1</v>
      </c>
      <c r="O58" s="36" t="s">
        <v>1</v>
      </c>
      <c r="P58" s="24"/>
      <c r="Q58" s="1" t="s">
        <v>1</v>
      </c>
      <c r="R58" s="9" t="s">
        <v>1</v>
      </c>
      <c r="S58" s="1" t="s">
        <v>1</v>
      </c>
      <c r="T58" s="36" t="s">
        <v>1</v>
      </c>
      <c r="U58" s="24"/>
      <c r="X58" t="e">
        <f>VLOOKUP(A58,'Ark1'!A:C,1,FALSE)</f>
        <v>#N/A</v>
      </c>
      <c r="Y58" t="e">
        <f>VLOOKUP(A58,'Ark1'!A:B,2,FALSE)</f>
        <v>#N/A</v>
      </c>
    </row>
    <row r="59" spans="1:25" x14ac:dyDescent="0.25">
      <c r="A59" s="13">
        <v>4061</v>
      </c>
      <c r="B59" s="7" t="s">
        <v>210</v>
      </c>
      <c r="C59" s="1" t="s">
        <v>1</v>
      </c>
      <c r="D59" s="7" t="s">
        <v>140</v>
      </c>
      <c r="E59" s="1" t="s">
        <v>1</v>
      </c>
      <c r="F59" s="34" t="s">
        <v>27</v>
      </c>
      <c r="G59" s="24"/>
      <c r="H59" s="1" t="s">
        <v>1</v>
      </c>
      <c r="I59" s="7" t="s">
        <v>28</v>
      </c>
      <c r="J59" s="1" t="s">
        <v>1</v>
      </c>
      <c r="K59" s="7" t="s">
        <v>1</v>
      </c>
      <c r="L59" s="1" t="s">
        <v>1</v>
      </c>
      <c r="M59" s="7" t="s">
        <v>19</v>
      </c>
      <c r="N59" s="1" t="s">
        <v>1</v>
      </c>
      <c r="O59" s="34" t="s">
        <v>1</v>
      </c>
      <c r="P59" s="24"/>
      <c r="Q59" s="1" t="s">
        <v>1</v>
      </c>
      <c r="R59" s="7" t="s">
        <v>1</v>
      </c>
      <c r="S59" s="1" t="s">
        <v>1</v>
      </c>
      <c r="T59" s="34" t="s">
        <v>1</v>
      </c>
      <c r="U59" s="24"/>
      <c r="X59" t="e">
        <f>VLOOKUP(A59,'Ark1'!A:C,1,FALSE)</f>
        <v>#N/A</v>
      </c>
      <c r="Y59" t="e">
        <f>VLOOKUP(A59,'Ark1'!A:B,2,FALSE)</f>
        <v>#N/A</v>
      </c>
    </row>
    <row r="60" spans="1:25" x14ac:dyDescent="0.25">
      <c r="A60" s="12">
        <v>4065</v>
      </c>
      <c r="B60" s="9" t="s">
        <v>211</v>
      </c>
      <c r="C60" s="1" t="s">
        <v>1</v>
      </c>
      <c r="D60" s="9" t="s">
        <v>140</v>
      </c>
      <c r="E60" s="1" t="s">
        <v>1</v>
      </c>
      <c r="F60" s="36" t="s">
        <v>27</v>
      </c>
      <c r="G60" s="24"/>
      <c r="H60" s="1" t="s">
        <v>1</v>
      </c>
      <c r="I60" s="9" t="s">
        <v>28</v>
      </c>
      <c r="J60" s="1" t="s">
        <v>1</v>
      </c>
      <c r="K60" s="9" t="s">
        <v>1</v>
      </c>
      <c r="L60" s="1" t="s">
        <v>1</v>
      </c>
      <c r="M60" s="9" t="s">
        <v>19</v>
      </c>
      <c r="N60" s="1" t="s">
        <v>1</v>
      </c>
      <c r="O60" s="36" t="s">
        <v>1</v>
      </c>
      <c r="P60" s="24"/>
      <c r="Q60" s="1" t="s">
        <v>1</v>
      </c>
      <c r="R60" s="9" t="s">
        <v>1</v>
      </c>
      <c r="S60" s="1" t="s">
        <v>1</v>
      </c>
      <c r="T60" s="36" t="s">
        <v>1</v>
      </c>
      <c r="U60" s="24"/>
      <c r="X60" t="e">
        <f>VLOOKUP(A60,'Ark1'!A:C,1,FALSE)</f>
        <v>#N/A</v>
      </c>
      <c r="Y60" t="e">
        <f>VLOOKUP(A60,'Ark1'!A:B,2,FALSE)</f>
        <v>#N/A</v>
      </c>
    </row>
    <row r="61" spans="1:25" x14ac:dyDescent="0.25">
      <c r="A61" s="13">
        <v>4070</v>
      </c>
      <c r="B61" s="7" t="s">
        <v>212</v>
      </c>
      <c r="C61" s="1" t="s">
        <v>1</v>
      </c>
      <c r="D61" s="7" t="s">
        <v>140</v>
      </c>
      <c r="E61" s="1" t="s">
        <v>1</v>
      </c>
      <c r="F61" s="34" t="s">
        <v>27</v>
      </c>
      <c r="G61" s="24"/>
      <c r="H61" s="1" t="s">
        <v>1</v>
      </c>
      <c r="I61" s="7" t="s">
        <v>28</v>
      </c>
      <c r="J61" s="1" t="s">
        <v>1</v>
      </c>
      <c r="K61" s="7" t="s">
        <v>1</v>
      </c>
      <c r="L61" s="1" t="s">
        <v>1</v>
      </c>
      <c r="M61" s="7" t="s">
        <v>19</v>
      </c>
      <c r="N61" s="1" t="s">
        <v>1</v>
      </c>
      <c r="O61" s="34" t="s">
        <v>1</v>
      </c>
      <c r="P61" s="24"/>
      <c r="Q61" s="1" t="s">
        <v>1</v>
      </c>
      <c r="R61" s="7" t="s">
        <v>1</v>
      </c>
      <c r="S61" s="1" t="s">
        <v>1</v>
      </c>
      <c r="T61" s="34" t="s">
        <v>1</v>
      </c>
      <c r="U61" s="24"/>
      <c r="X61" t="e">
        <f>VLOOKUP(A61,'Ark1'!A:C,1,FALSE)</f>
        <v>#N/A</v>
      </c>
      <c r="Y61" t="e">
        <f>VLOOKUP(A61,'Ark1'!A:B,2,FALSE)</f>
        <v>#N/A</v>
      </c>
    </row>
    <row r="62" spans="1:25" x14ac:dyDescent="0.25">
      <c r="A62" s="12">
        <v>4080</v>
      </c>
      <c r="B62" s="9" t="s">
        <v>213</v>
      </c>
      <c r="C62" s="1" t="s">
        <v>1</v>
      </c>
      <c r="D62" s="9" t="s">
        <v>140</v>
      </c>
      <c r="E62" s="1" t="s">
        <v>1</v>
      </c>
      <c r="F62" s="36" t="s">
        <v>27</v>
      </c>
      <c r="G62" s="24"/>
      <c r="H62" s="1" t="s">
        <v>1</v>
      </c>
      <c r="I62" s="9" t="s">
        <v>28</v>
      </c>
      <c r="J62" s="1" t="s">
        <v>1</v>
      </c>
      <c r="K62" s="9" t="s">
        <v>1</v>
      </c>
      <c r="L62" s="1" t="s">
        <v>1</v>
      </c>
      <c r="M62" s="9" t="s">
        <v>30</v>
      </c>
      <c r="N62" s="1" t="s">
        <v>1</v>
      </c>
      <c r="O62" s="36" t="s">
        <v>31</v>
      </c>
      <c r="P62" s="24"/>
      <c r="Q62" s="1" t="s">
        <v>1</v>
      </c>
      <c r="R62" s="9" t="s">
        <v>32</v>
      </c>
      <c r="S62" s="1" t="s">
        <v>1</v>
      </c>
      <c r="T62" s="36" t="s">
        <v>1</v>
      </c>
      <c r="U62" s="24"/>
      <c r="X62" t="e">
        <f>VLOOKUP(A62,'Ark1'!A:C,1,FALSE)</f>
        <v>#N/A</v>
      </c>
      <c r="Y62" t="e">
        <f>VLOOKUP(A62,'Ark1'!A:B,2,FALSE)</f>
        <v>#N/A</v>
      </c>
    </row>
    <row r="63" spans="1:25" x14ac:dyDescent="0.25">
      <c r="A63" s="13">
        <v>4091</v>
      </c>
      <c r="B63" s="7" t="s">
        <v>214</v>
      </c>
      <c r="C63" s="1" t="s">
        <v>1</v>
      </c>
      <c r="D63" s="7" t="s">
        <v>140</v>
      </c>
      <c r="E63" s="1" t="s">
        <v>1</v>
      </c>
      <c r="F63" s="34" t="s">
        <v>27</v>
      </c>
      <c r="G63" s="24"/>
      <c r="H63" s="1" t="s">
        <v>1</v>
      </c>
      <c r="I63" s="7" t="s">
        <v>28</v>
      </c>
      <c r="J63" s="1" t="s">
        <v>1</v>
      </c>
      <c r="K63" s="7" t="s">
        <v>1</v>
      </c>
      <c r="L63" s="1" t="s">
        <v>1</v>
      </c>
      <c r="M63" s="7" t="s">
        <v>19</v>
      </c>
      <c r="N63" s="1" t="s">
        <v>1</v>
      </c>
      <c r="O63" s="34" t="s">
        <v>1</v>
      </c>
      <c r="P63" s="24"/>
      <c r="Q63" s="1" t="s">
        <v>1</v>
      </c>
      <c r="R63" s="7" t="s">
        <v>1</v>
      </c>
      <c r="S63" s="1" t="s">
        <v>1</v>
      </c>
      <c r="T63" s="34" t="s">
        <v>1</v>
      </c>
      <c r="U63" s="24"/>
      <c r="X63" t="e">
        <f>VLOOKUP(A63,'Ark1'!A:C,1,FALSE)</f>
        <v>#N/A</v>
      </c>
      <c r="Y63" t="e">
        <f>VLOOKUP(A63,'Ark1'!A:B,2,FALSE)</f>
        <v>#N/A</v>
      </c>
    </row>
    <row r="64" spans="1:25" x14ac:dyDescent="0.25">
      <c r="A64" s="12">
        <v>4092</v>
      </c>
      <c r="B64" s="9" t="s">
        <v>215</v>
      </c>
      <c r="C64" s="1" t="s">
        <v>1</v>
      </c>
      <c r="D64" s="9" t="s">
        <v>140</v>
      </c>
      <c r="E64" s="1" t="s">
        <v>1</v>
      </c>
      <c r="F64" s="36" t="s">
        <v>27</v>
      </c>
      <c r="G64" s="24"/>
      <c r="H64" s="1" t="s">
        <v>1</v>
      </c>
      <c r="I64" s="9" t="s">
        <v>28</v>
      </c>
      <c r="J64" s="1" t="s">
        <v>1</v>
      </c>
      <c r="K64" s="9" t="s">
        <v>1</v>
      </c>
      <c r="L64" s="1" t="s">
        <v>1</v>
      </c>
      <c r="M64" s="9" t="s">
        <v>19</v>
      </c>
      <c r="N64" s="1" t="s">
        <v>1</v>
      </c>
      <c r="O64" s="36" t="s">
        <v>1</v>
      </c>
      <c r="P64" s="24"/>
      <c r="Q64" s="1" t="s">
        <v>1</v>
      </c>
      <c r="R64" s="9" t="s">
        <v>1</v>
      </c>
      <c r="S64" s="1" t="s">
        <v>1</v>
      </c>
      <c r="T64" s="36" t="s">
        <v>1</v>
      </c>
      <c r="U64" s="24"/>
      <c r="X64" t="e">
        <f>VLOOKUP(A64,'Ark1'!A:C,1,FALSE)</f>
        <v>#N/A</v>
      </c>
      <c r="Y64" t="e">
        <f>VLOOKUP(A64,'Ark1'!A:B,2,FALSE)</f>
        <v>#N/A</v>
      </c>
    </row>
    <row r="65" spans="1:25" x14ac:dyDescent="0.25">
      <c r="A65" s="13">
        <v>4093</v>
      </c>
      <c r="B65" s="7" t="s">
        <v>216</v>
      </c>
      <c r="C65" s="1" t="s">
        <v>1</v>
      </c>
      <c r="D65" s="7" t="s">
        <v>140</v>
      </c>
      <c r="E65" s="1" t="s">
        <v>1</v>
      </c>
      <c r="F65" s="34" t="s">
        <v>27</v>
      </c>
      <c r="G65" s="24"/>
      <c r="H65" s="1" t="s">
        <v>1</v>
      </c>
      <c r="I65" s="7" t="s">
        <v>28</v>
      </c>
      <c r="J65" s="1" t="s">
        <v>1</v>
      </c>
      <c r="K65" s="7" t="s">
        <v>1</v>
      </c>
      <c r="L65" s="1" t="s">
        <v>1</v>
      </c>
      <c r="M65" s="7" t="s">
        <v>19</v>
      </c>
      <c r="N65" s="1" t="s">
        <v>1</v>
      </c>
      <c r="O65" s="34" t="s">
        <v>1</v>
      </c>
      <c r="P65" s="24"/>
      <c r="Q65" s="1" t="s">
        <v>1</v>
      </c>
      <c r="R65" s="7" t="s">
        <v>1</v>
      </c>
      <c r="S65" s="1" t="s">
        <v>1</v>
      </c>
      <c r="T65" s="34" t="s">
        <v>1</v>
      </c>
      <c r="U65" s="24"/>
      <c r="X65" t="e">
        <f>VLOOKUP(A65,'Ark1'!A:C,1,FALSE)</f>
        <v>#N/A</v>
      </c>
      <c r="Y65" t="e">
        <f>VLOOKUP(A65,'Ark1'!A:B,2,FALSE)</f>
        <v>#N/A</v>
      </c>
    </row>
    <row r="66" spans="1:25" x14ac:dyDescent="0.25">
      <c r="A66" s="11">
        <v>4099</v>
      </c>
      <c r="B66" s="8" t="s">
        <v>217</v>
      </c>
      <c r="C66" s="6" t="s">
        <v>1</v>
      </c>
      <c r="D66" s="8" t="s">
        <v>140</v>
      </c>
      <c r="E66" s="6" t="s">
        <v>1</v>
      </c>
      <c r="F66" s="35" t="s">
        <v>36</v>
      </c>
      <c r="G66" s="24"/>
      <c r="H66" s="1" t="s">
        <v>1</v>
      </c>
      <c r="I66" s="9" t="s">
        <v>1</v>
      </c>
      <c r="J66" s="6" t="s">
        <v>1</v>
      </c>
      <c r="K66" s="8" t="s">
        <v>218</v>
      </c>
      <c r="L66" s="6" t="s">
        <v>1</v>
      </c>
      <c r="M66" s="8" t="s">
        <v>19</v>
      </c>
      <c r="N66" s="6" t="s">
        <v>1</v>
      </c>
      <c r="O66" s="35" t="s">
        <v>1</v>
      </c>
      <c r="P66" s="24"/>
      <c r="Q66" s="6" t="s">
        <v>1</v>
      </c>
      <c r="R66" s="8" t="s">
        <v>1</v>
      </c>
      <c r="S66" s="1" t="s">
        <v>1</v>
      </c>
      <c r="T66" s="36" t="s">
        <v>20</v>
      </c>
      <c r="U66" s="24"/>
      <c r="X66" t="e">
        <f>VLOOKUP(A66,'Ark1'!A:C,1,FALSE)</f>
        <v>#N/A</v>
      </c>
      <c r="Y66" t="e">
        <f>VLOOKUP(A66,'Ark1'!A:B,2,FALSE)</f>
        <v>#N/A</v>
      </c>
    </row>
    <row r="67" spans="1:25" x14ac:dyDescent="0.25">
      <c r="A67" s="10">
        <v>4100</v>
      </c>
      <c r="B67" s="5" t="s">
        <v>219</v>
      </c>
      <c r="C67" s="6" t="s">
        <v>1</v>
      </c>
      <c r="D67" s="5" t="s">
        <v>140</v>
      </c>
      <c r="E67" s="6" t="s">
        <v>1</v>
      </c>
      <c r="F67" s="33" t="s">
        <v>22</v>
      </c>
      <c r="G67" s="24"/>
      <c r="H67" s="1" t="s">
        <v>1</v>
      </c>
      <c r="I67" s="7" t="s">
        <v>1</v>
      </c>
      <c r="J67" s="6" t="s">
        <v>1</v>
      </c>
      <c r="K67" s="5" t="s">
        <v>1</v>
      </c>
      <c r="L67" s="6" t="s">
        <v>1</v>
      </c>
      <c r="M67" s="5" t="s">
        <v>19</v>
      </c>
      <c r="N67" s="6" t="s">
        <v>1</v>
      </c>
      <c r="O67" s="33" t="s">
        <v>1</v>
      </c>
      <c r="P67" s="24"/>
      <c r="Q67" s="6" t="s">
        <v>1</v>
      </c>
      <c r="R67" s="5" t="s">
        <v>1</v>
      </c>
      <c r="S67" s="1" t="s">
        <v>1</v>
      </c>
      <c r="T67" s="34" t="s">
        <v>20</v>
      </c>
      <c r="U67" s="24"/>
      <c r="X67" t="e">
        <f>VLOOKUP(A67,'Ark1'!A:C,1,FALSE)</f>
        <v>#N/A</v>
      </c>
      <c r="Y67" t="e">
        <f>VLOOKUP(A67,'Ark1'!A:B,2,FALSE)</f>
        <v>#N/A</v>
      </c>
    </row>
    <row r="68" spans="1:25" x14ac:dyDescent="0.25">
      <c r="A68" s="12">
        <v>4151</v>
      </c>
      <c r="B68" s="9" t="s">
        <v>220</v>
      </c>
      <c r="C68" s="1" t="s">
        <v>1</v>
      </c>
      <c r="D68" s="9" t="s">
        <v>140</v>
      </c>
      <c r="E68" s="1" t="s">
        <v>1</v>
      </c>
      <c r="F68" s="36" t="s">
        <v>27</v>
      </c>
      <c r="G68" s="24"/>
      <c r="H68" s="1" t="s">
        <v>1</v>
      </c>
      <c r="I68" s="9" t="s">
        <v>28</v>
      </c>
      <c r="J68" s="1" t="s">
        <v>1</v>
      </c>
      <c r="K68" s="9" t="s">
        <v>1</v>
      </c>
      <c r="L68" s="1" t="s">
        <v>1</v>
      </c>
      <c r="M68" s="9" t="s">
        <v>30</v>
      </c>
      <c r="N68" s="1" t="s">
        <v>1</v>
      </c>
      <c r="O68" s="36" t="s">
        <v>31</v>
      </c>
      <c r="P68" s="24"/>
      <c r="Q68" s="1" t="s">
        <v>1</v>
      </c>
      <c r="R68" s="9" t="s">
        <v>173</v>
      </c>
      <c r="S68" s="1" t="s">
        <v>1</v>
      </c>
      <c r="T68" s="36" t="s">
        <v>1</v>
      </c>
      <c r="U68" s="24"/>
      <c r="X68" t="e">
        <f>VLOOKUP(A68,'Ark1'!A:C,1,FALSE)</f>
        <v>#N/A</v>
      </c>
      <c r="Y68" t="e">
        <f>VLOOKUP(A68,'Ark1'!A:B,2,FALSE)</f>
        <v>#N/A</v>
      </c>
    </row>
    <row r="69" spans="1:25" x14ac:dyDescent="0.25">
      <c r="A69" s="13">
        <v>4155</v>
      </c>
      <c r="B69" s="7" t="s">
        <v>221</v>
      </c>
      <c r="C69" s="1" t="s">
        <v>1</v>
      </c>
      <c r="D69" s="7" t="s">
        <v>140</v>
      </c>
      <c r="E69" s="1" t="s">
        <v>1</v>
      </c>
      <c r="F69" s="34" t="s">
        <v>27</v>
      </c>
      <c r="G69" s="24"/>
      <c r="H69" s="1" t="s">
        <v>1</v>
      </c>
      <c r="I69" s="7" t="s">
        <v>28</v>
      </c>
      <c r="J69" s="1" t="s">
        <v>1</v>
      </c>
      <c r="K69" s="7" t="s">
        <v>1</v>
      </c>
      <c r="L69" s="1" t="s">
        <v>1</v>
      </c>
      <c r="M69" s="7" t="s">
        <v>30</v>
      </c>
      <c r="N69" s="1" t="s">
        <v>1</v>
      </c>
      <c r="O69" s="34" t="s">
        <v>165</v>
      </c>
      <c r="P69" s="24"/>
      <c r="Q69" s="1" t="s">
        <v>1</v>
      </c>
      <c r="R69" s="7" t="s">
        <v>173</v>
      </c>
      <c r="S69" s="1" t="s">
        <v>1</v>
      </c>
      <c r="T69" s="34" t="s">
        <v>1</v>
      </c>
      <c r="U69" s="24"/>
      <c r="X69" t="e">
        <f>VLOOKUP(A69,'Ark1'!A:C,1,FALSE)</f>
        <v>#N/A</v>
      </c>
      <c r="Y69" t="e">
        <f>VLOOKUP(A69,'Ark1'!A:B,2,FALSE)</f>
        <v>#N/A</v>
      </c>
    </row>
    <row r="70" spans="1:25" x14ac:dyDescent="0.25">
      <c r="A70" s="12">
        <v>4156</v>
      </c>
      <c r="B70" s="9" t="s">
        <v>222</v>
      </c>
      <c r="C70" s="1" t="s">
        <v>1</v>
      </c>
      <c r="D70" s="9" t="s">
        <v>140</v>
      </c>
      <c r="E70" s="1" t="s">
        <v>1</v>
      </c>
      <c r="F70" s="36" t="s">
        <v>27</v>
      </c>
      <c r="G70" s="24"/>
      <c r="H70" s="1" t="s">
        <v>1</v>
      </c>
      <c r="I70" s="9" t="s">
        <v>28</v>
      </c>
      <c r="J70" s="1" t="s">
        <v>1</v>
      </c>
      <c r="K70" s="9" t="s">
        <v>1</v>
      </c>
      <c r="L70" s="1" t="s">
        <v>1</v>
      </c>
      <c r="M70" s="9" t="s">
        <v>30</v>
      </c>
      <c r="N70" s="1" t="s">
        <v>1</v>
      </c>
      <c r="O70" s="36" t="s">
        <v>167</v>
      </c>
      <c r="P70" s="24"/>
      <c r="Q70" s="1" t="s">
        <v>1</v>
      </c>
      <c r="R70" s="9" t="s">
        <v>173</v>
      </c>
      <c r="S70" s="1" t="s">
        <v>1</v>
      </c>
      <c r="T70" s="36" t="s">
        <v>1</v>
      </c>
      <c r="U70" s="24"/>
      <c r="X70" t="e">
        <f>VLOOKUP(A70,'Ark1'!A:C,1,FALSE)</f>
        <v>#N/A</v>
      </c>
      <c r="Y70" t="e">
        <f>VLOOKUP(A70,'Ark1'!A:B,2,FALSE)</f>
        <v>#N/A</v>
      </c>
    </row>
    <row r="71" spans="1:25" x14ac:dyDescent="0.25">
      <c r="A71" s="13">
        <v>4158</v>
      </c>
      <c r="B71" s="7" t="s">
        <v>223</v>
      </c>
      <c r="C71" s="1" t="s">
        <v>1</v>
      </c>
      <c r="D71" s="7" t="s">
        <v>140</v>
      </c>
      <c r="E71" s="1" t="s">
        <v>1</v>
      </c>
      <c r="F71" s="34" t="s">
        <v>27</v>
      </c>
      <c r="G71" s="24"/>
      <c r="H71" s="1" t="s">
        <v>1</v>
      </c>
      <c r="I71" s="7" t="s">
        <v>28</v>
      </c>
      <c r="J71" s="1" t="s">
        <v>1</v>
      </c>
      <c r="K71" s="7" t="s">
        <v>1</v>
      </c>
      <c r="L71" s="1" t="s">
        <v>1</v>
      </c>
      <c r="M71" s="7" t="s">
        <v>19</v>
      </c>
      <c r="N71" s="1" t="s">
        <v>1</v>
      </c>
      <c r="O71" s="34" t="s">
        <v>1</v>
      </c>
      <c r="P71" s="24"/>
      <c r="Q71" s="1" t="s">
        <v>1</v>
      </c>
      <c r="R71" s="7" t="s">
        <v>1</v>
      </c>
      <c r="S71" s="1" t="s">
        <v>1</v>
      </c>
      <c r="T71" s="34" t="s">
        <v>1</v>
      </c>
      <c r="U71" s="24"/>
      <c r="X71" t="e">
        <f>VLOOKUP(A71,'Ark1'!A:C,1,FALSE)</f>
        <v>#N/A</v>
      </c>
      <c r="Y71" t="e">
        <f>VLOOKUP(A71,'Ark1'!A:B,2,FALSE)</f>
        <v>#N/A</v>
      </c>
    </row>
    <row r="72" spans="1:25" x14ac:dyDescent="0.25">
      <c r="A72" s="12">
        <v>4159</v>
      </c>
      <c r="B72" s="9" t="s">
        <v>224</v>
      </c>
      <c r="C72" s="1" t="s">
        <v>1</v>
      </c>
      <c r="D72" s="9" t="s">
        <v>140</v>
      </c>
      <c r="E72" s="1" t="s">
        <v>1</v>
      </c>
      <c r="F72" s="36" t="s">
        <v>27</v>
      </c>
      <c r="G72" s="24"/>
      <c r="H72" s="1" t="s">
        <v>1</v>
      </c>
      <c r="I72" s="9" t="s">
        <v>28</v>
      </c>
      <c r="J72" s="1" t="s">
        <v>1</v>
      </c>
      <c r="K72" s="9" t="s">
        <v>1</v>
      </c>
      <c r="L72" s="1" t="s">
        <v>1</v>
      </c>
      <c r="M72" s="9" t="s">
        <v>19</v>
      </c>
      <c r="N72" s="1" t="s">
        <v>1</v>
      </c>
      <c r="O72" s="36" t="s">
        <v>1</v>
      </c>
      <c r="P72" s="24"/>
      <c r="Q72" s="1" t="s">
        <v>1</v>
      </c>
      <c r="R72" s="9" t="s">
        <v>1</v>
      </c>
      <c r="S72" s="1" t="s">
        <v>1</v>
      </c>
      <c r="T72" s="36" t="s">
        <v>1</v>
      </c>
      <c r="U72" s="24"/>
      <c r="X72" t="e">
        <f>VLOOKUP(A72,'Ark1'!A:C,1,FALSE)</f>
        <v>#N/A</v>
      </c>
      <c r="Y72" t="e">
        <f>VLOOKUP(A72,'Ark1'!A:B,2,FALSE)</f>
        <v>#N/A</v>
      </c>
    </row>
    <row r="73" spans="1:25" x14ac:dyDescent="0.25">
      <c r="A73" s="13">
        <v>4160</v>
      </c>
      <c r="B73" s="7" t="s">
        <v>225</v>
      </c>
      <c r="C73" s="1" t="s">
        <v>1</v>
      </c>
      <c r="D73" s="7" t="s">
        <v>140</v>
      </c>
      <c r="E73" s="1" t="s">
        <v>1</v>
      </c>
      <c r="F73" s="34" t="s">
        <v>27</v>
      </c>
      <c r="G73" s="24"/>
      <c r="H73" s="1" t="s">
        <v>1</v>
      </c>
      <c r="I73" s="7" t="s">
        <v>28</v>
      </c>
      <c r="J73" s="1" t="s">
        <v>1</v>
      </c>
      <c r="K73" s="7" t="s">
        <v>1</v>
      </c>
      <c r="L73" s="1" t="s">
        <v>1</v>
      </c>
      <c r="M73" s="7" t="s">
        <v>19</v>
      </c>
      <c r="N73" s="1" t="s">
        <v>1</v>
      </c>
      <c r="O73" s="34" t="s">
        <v>1</v>
      </c>
      <c r="P73" s="24"/>
      <c r="Q73" s="1" t="s">
        <v>1</v>
      </c>
      <c r="R73" s="7" t="s">
        <v>1</v>
      </c>
      <c r="S73" s="1" t="s">
        <v>1</v>
      </c>
      <c r="T73" s="34" t="s">
        <v>1</v>
      </c>
      <c r="U73" s="24"/>
      <c r="X73" t="e">
        <f>VLOOKUP(A73,'Ark1'!A:C,1,FALSE)</f>
        <v>#N/A</v>
      </c>
      <c r="Y73" t="e">
        <f>VLOOKUP(A73,'Ark1'!A:B,2,FALSE)</f>
        <v>#N/A</v>
      </c>
    </row>
    <row r="74" spans="1:25" x14ac:dyDescent="0.25">
      <c r="A74" s="12">
        <v>4161</v>
      </c>
      <c r="B74" s="9" t="s">
        <v>226</v>
      </c>
      <c r="C74" s="1" t="s">
        <v>1</v>
      </c>
      <c r="D74" s="9" t="s">
        <v>140</v>
      </c>
      <c r="E74" s="1" t="s">
        <v>1</v>
      </c>
      <c r="F74" s="36" t="s">
        <v>27</v>
      </c>
      <c r="G74" s="24"/>
      <c r="H74" s="1" t="s">
        <v>1</v>
      </c>
      <c r="I74" s="9" t="s">
        <v>28</v>
      </c>
      <c r="J74" s="1" t="s">
        <v>1</v>
      </c>
      <c r="K74" s="9" t="s">
        <v>1</v>
      </c>
      <c r="L74" s="1" t="s">
        <v>1</v>
      </c>
      <c r="M74" s="9" t="s">
        <v>19</v>
      </c>
      <c r="N74" s="1" t="s">
        <v>1</v>
      </c>
      <c r="O74" s="36" t="s">
        <v>1</v>
      </c>
      <c r="P74" s="24"/>
      <c r="Q74" s="1" t="s">
        <v>1</v>
      </c>
      <c r="R74" s="9" t="s">
        <v>1</v>
      </c>
      <c r="S74" s="1" t="s">
        <v>1</v>
      </c>
      <c r="T74" s="36" t="s">
        <v>1</v>
      </c>
      <c r="U74" s="24"/>
      <c r="X74" t="e">
        <f>VLOOKUP(A74,'Ark1'!A:C,1,FALSE)</f>
        <v>#N/A</v>
      </c>
      <c r="Y74" t="e">
        <f>VLOOKUP(A74,'Ark1'!A:B,2,FALSE)</f>
        <v>#N/A</v>
      </c>
    </row>
    <row r="75" spans="1:25" x14ac:dyDescent="0.25">
      <c r="A75" s="13">
        <v>4165</v>
      </c>
      <c r="B75" s="7" t="s">
        <v>227</v>
      </c>
      <c r="C75" s="1" t="s">
        <v>1</v>
      </c>
      <c r="D75" s="7" t="s">
        <v>140</v>
      </c>
      <c r="E75" s="1" t="s">
        <v>1</v>
      </c>
      <c r="F75" s="34" t="s">
        <v>27</v>
      </c>
      <c r="G75" s="24"/>
      <c r="H75" s="1" t="s">
        <v>1</v>
      </c>
      <c r="I75" s="7" t="s">
        <v>28</v>
      </c>
      <c r="J75" s="1" t="s">
        <v>1</v>
      </c>
      <c r="K75" s="7" t="s">
        <v>1</v>
      </c>
      <c r="L75" s="1" t="s">
        <v>1</v>
      </c>
      <c r="M75" s="7" t="s">
        <v>19</v>
      </c>
      <c r="N75" s="1" t="s">
        <v>1</v>
      </c>
      <c r="O75" s="34" t="s">
        <v>1</v>
      </c>
      <c r="P75" s="24"/>
      <c r="Q75" s="1" t="s">
        <v>1</v>
      </c>
      <c r="R75" s="7" t="s">
        <v>1</v>
      </c>
      <c r="S75" s="1" t="s">
        <v>1</v>
      </c>
      <c r="T75" s="34" t="s">
        <v>1</v>
      </c>
      <c r="U75" s="24"/>
      <c r="X75" t="e">
        <f>VLOOKUP(A75,'Ark1'!A:C,1,FALSE)</f>
        <v>#N/A</v>
      </c>
      <c r="Y75" t="e">
        <f>VLOOKUP(A75,'Ark1'!A:B,2,FALSE)</f>
        <v>#N/A</v>
      </c>
    </row>
    <row r="76" spans="1:25" x14ac:dyDescent="0.25">
      <c r="A76" s="12">
        <v>4170</v>
      </c>
      <c r="B76" s="9" t="s">
        <v>228</v>
      </c>
      <c r="C76" s="1" t="s">
        <v>1</v>
      </c>
      <c r="D76" s="9" t="s">
        <v>140</v>
      </c>
      <c r="E76" s="1" t="s">
        <v>1</v>
      </c>
      <c r="F76" s="36" t="s">
        <v>27</v>
      </c>
      <c r="G76" s="24"/>
      <c r="H76" s="1" t="s">
        <v>1</v>
      </c>
      <c r="I76" s="9" t="s">
        <v>28</v>
      </c>
      <c r="J76" s="1" t="s">
        <v>1</v>
      </c>
      <c r="K76" s="9" t="s">
        <v>1</v>
      </c>
      <c r="L76" s="1" t="s">
        <v>1</v>
      </c>
      <c r="M76" s="9" t="s">
        <v>19</v>
      </c>
      <c r="N76" s="1" t="s">
        <v>1</v>
      </c>
      <c r="O76" s="36" t="s">
        <v>1</v>
      </c>
      <c r="P76" s="24"/>
      <c r="Q76" s="1" t="s">
        <v>1</v>
      </c>
      <c r="R76" s="9" t="s">
        <v>1</v>
      </c>
      <c r="S76" s="1" t="s">
        <v>1</v>
      </c>
      <c r="T76" s="36" t="s">
        <v>1</v>
      </c>
      <c r="U76" s="24"/>
      <c r="X76" t="e">
        <f>VLOOKUP(A76,'Ark1'!A:C,1,FALSE)</f>
        <v>#N/A</v>
      </c>
      <c r="Y76" t="e">
        <f>VLOOKUP(A76,'Ark1'!A:B,2,FALSE)</f>
        <v>#N/A</v>
      </c>
    </row>
    <row r="77" spans="1:25" x14ac:dyDescent="0.25">
      <c r="A77" s="13">
        <v>4180</v>
      </c>
      <c r="B77" s="7" t="s">
        <v>229</v>
      </c>
      <c r="C77" s="1" t="s">
        <v>1</v>
      </c>
      <c r="D77" s="7" t="s">
        <v>140</v>
      </c>
      <c r="E77" s="1" t="s">
        <v>1</v>
      </c>
      <c r="F77" s="34" t="s">
        <v>27</v>
      </c>
      <c r="G77" s="24"/>
      <c r="H77" s="1" t="s">
        <v>1</v>
      </c>
      <c r="I77" s="7" t="s">
        <v>28</v>
      </c>
      <c r="J77" s="1" t="s">
        <v>1</v>
      </c>
      <c r="K77" s="7" t="s">
        <v>1</v>
      </c>
      <c r="L77" s="1" t="s">
        <v>1</v>
      </c>
      <c r="M77" s="7" t="s">
        <v>30</v>
      </c>
      <c r="N77" s="1" t="s">
        <v>1</v>
      </c>
      <c r="O77" s="34" t="s">
        <v>31</v>
      </c>
      <c r="P77" s="24"/>
      <c r="Q77" s="1" t="s">
        <v>1</v>
      </c>
      <c r="R77" s="7" t="s">
        <v>32</v>
      </c>
      <c r="S77" s="1" t="s">
        <v>1</v>
      </c>
      <c r="T77" s="34" t="s">
        <v>1</v>
      </c>
      <c r="U77" s="24"/>
      <c r="X77" t="e">
        <f>VLOOKUP(A77,'Ark1'!A:C,1,FALSE)</f>
        <v>#N/A</v>
      </c>
      <c r="Y77" t="e">
        <f>VLOOKUP(A77,'Ark1'!A:B,2,FALSE)</f>
        <v>#N/A</v>
      </c>
    </row>
    <row r="78" spans="1:25" ht="21" x14ac:dyDescent="0.25">
      <c r="A78" s="12">
        <v>4191</v>
      </c>
      <c r="B78" s="9" t="s">
        <v>230</v>
      </c>
      <c r="C78" s="1" t="s">
        <v>1</v>
      </c>
      <c r="D78" s="9" t="s">
        <v>140</v>
      </c>
      <c r="E78" s="1" t="s">
        <v>1</v>
      </c>
      <c r="F78" s="36" t="s">
        <v>27</v>
      </c>
      <c r="G78" s="24"/>
      <c r="H78" s="1" t="s">
        <v>1</v>
      </c>
      <c r="I78" s="9" t="s">
        <v>28</v>
      </c>
      <c r="J78" s="1" t="s">
        <v>1</v>
      </c>
      <c r="K78" s="9" t="s">
        <v>1</v>
      </c>
      <c r="L78" s="1" t="s">
        <v>1</v>
      </c>
      <c r="M78" s="9" t="s">
        <v>19</v>
      </c>
      <c r="N78" s="1" t="s">
        <v>1</v>
      </c>
      <c r="O78" s="36" t="s">
        <v>1</v>
      </c>
      <c r="P78" s="24"/>
      <c r="Q78" s="1" t="s">
        <v>1</v>
      </c>
      <c r="R78" s="9" t="s">
        <v>1</v>
      </c>
      <c r="S78" s="1" t="s">
        <v>1</v>
      </c>
      <c r="T78" s="36" t="s">
        <v>1</v>
      </c>
      <c r="U78" s="24"/>
      <c r="X78" t="e">
        <f>VLOOKUP(A78,'Ark1'!A:C,1,FALSE)</f>
        <v>#N/A</v>
      </c>
      <c r="Y78" t="e">
        <f>VLOOKUP(A78,'Ark1'!A:B,2,FALSE)</f>
        <v>#N/A</v>
      </c>
    </row>
    <row r="79" spans="1:25" ht="21" x14ac:dyDescent="0.25">
      <c r="A79" s="13">
        <v>4193</v>
      </c>
      <c r="B79" s="7" t="s">
        <v>231</v>
      </c>
      <c r="C79" s="1" t="s">
        <v>1</v>
      </c>
      <c r="D79" s="7" t="s">
        <v>140</v>
      </c>
      <c r="E79" s="1" t="s">
        <v>1</v>
      </c>
      <c r="F79" s="34" t="s">
        <v>27</v>
      </c>
      <c r="G79" s="24"/>
      <c r="H79" s="1" t="s">
        <v>1</v>
      </c>
      <c r="I79" s="7" t="s">
        <v>28</v>
      </c>
      <c r="J79" s="1" t="s">
        <v>1</v>
      </c>
      <c r="K79" s="7" t="s">
        <v>1</v>
      </c>
      <c r="L79" s="1" t="s">
        <v>1</v>
      </c>
      <c r="M79" s="7" t="s">
        <v>19</v>
      </c>
      <c r="N79" s="1" t="s">
        <v>1</v>
      </c>
      <c r="O79" s="34" t="s">
        <v>1</v>
      </c>
      <c r="P79" s="24"/>
      <c r="Q79" s="1" t="s">
        <v>1</v>
      </c>
      <c r="R79" s="7" t="s">
        <v>1</v>
      </c>
      <c r="S79" s="1" t="s">
        <v>1</v>
      </c>
      <c r="T79" s="34" t="s">
        <v>1</v>
      </c>
      <c r="U79" s="24"/>
      <c r="X79" t="e">
        <f>VLOOKUP(A79,'Ark1'!A:C,1,FALSE)</f>
        <v>#N/A</v>
      </c>
      <c r="Y79" t="e">
        <f>VLOOKUP(A79,'Ark1'!A:B,2,FALSE)</f>
        <v>#N/A</v>
      </c>
    </row>
    <row r="80" spans="1:25" x14ac:dyDescent="0.25">
      <c r="A80" s="11">
        <v>4199</v>
      </c>
      <c r="B80" s="8" t="s">
        <v>232</v>
      </c>
      <c r="C80" s="6" t="s">
        <v>1</v>
      </c>
      <c r="D80" s="8" t="s">
        <v>140</v>
      </c>
      <c r="E80" s="6" t="s">
        <v>1</v>
      </c>
      <c r="F80" s="35" t="s">
        <v>36</v>
      </c>
      <c r="G80" s="24"/>
      <c r="H80" s="1" t="s">
        <v>1</v>
      </c>
      <c r="I80" s="9" t="s">
        <v>1</v>
      </c>
      <c r="J80" s="6" t="s">
        <v>1</v>
      </c>
      <c r="K80" s="8" t="s">
        <v>233</v>
      </c>
      <c r="L80" s="6" t="s">
        <v>1</v>
      </c>
      <c r="M80" s="8" t="s">
        <v>19</v>
      </c>
      <c r="N80" s="6" t="s">
        <v>1</v>
      </c>
      <c r="O80" s="35" t="s">
        <v>1</v>
      </c>
      <c r="P80" s="24"/>
      <c r="Q80" s="6" t="s">
        <v>1</v>
      </c>
      <c r="R80" s="8" t="s">
        <v>1</v>
      </c>
      <c r="S80" s="1" t="s">
        <v>1</v>
      </c>
      <c r="T80" s="36" t="s">
        <v>20</v>
      </c>
      <c r="U80" s="24"/>
      <c r="X80" t="e">
        <f>VLOOKUP(A80,'Ark1'!A:C,1,FALSE)</f>
        <v>#N/A</v>
      </c>
      <c r="Y80" t="e">
        <f>VLOOKUP(A80,'Ark1'!A:B,2,FALSE)</f>
        <v>#N/A</v>
      </c>
    </row>
    <row r="81" spans="1:25" x14ac:dyDescent="0.25">
      <c r="A81" s="13">
        <v>4250</v>
      </c>
      <c r="B81" s="7" t="s">
        <v>234</v>
      </c>
      <c r="C81" s="1" t="s">
        <v>1</v>
      </c>
      <c r="D81" s="7" t="s">
        <v>140</v>
      </c>
      <c r="E81" s="1" t="s">
        <v>1</v>
      </c>
      <c r="F81" s="34" t="s">
        <v>27</v>
      </c>
      <c r="G81" s="24"/>
      <c r="H81" s="1" t="s">
        <v>1</v>
      </c>
      <c r="I81" s="7" t="s">
        <v>28</v>
      </c>
      <c r="J81" s="1" t="s">
        <v>1</v>
      </c>
      <c r="K81" s="7" t="s">
        <v>1</v>
      </c>
      <c r="L81" s="1" t="s">
        <v>1</v>
      </c>
      <c r="M81" s="7" t="s">
        <v>19</v>
      </c>
      <c r="N81" s="1" t="s">
        <v>1</v>
      </c>
      <c r="O81" s="34" t="s">
        <v>1</v>
      </c>
      <c r="P81" s="24"/>
      <c r="Q81" s="1" t="s">
        <v>1</v>
      </c>
      <c r="R81" s="7" t="s">
        <v>1</v>
      </c>
      <c r="S81" s="1" t="s">
        <v>1</v>
      </c>
      <c r="T81" s="34" t="s">
        <v>1</v>
      </c>
      <c r="U81" s="24"/>
      <c r="X81" t="e">
        <f>VLOOKUP(A81,'Ark1'!A:C,1,FALSE)</f>
        <v>#N/A</v>
      </c>
      <c r="Y81" t="e">
        <f>VLOOKUP(A81,'Ark1'!A:B,2,FALSE)</f>
        <v>#N/A</v>
      </c>
    </row>
    <row r="82" spans="1:25" x14ac:dyDescent="0.25">
      <c r="A82" s="11">
        <v>4260</v>
      </c>
      <c r="B82" s="8" t="s">
        <v>235</v>
      </c>
      <c r="C82" s="6" t="s">
        <v>1</v>
      </c>
      <c r="D82" s="8" t="s">
        <v>140</v>
      </c>
      <c r="E82" s="6" t="s">
        <v>1</v>
      </c>
      <c r="F82" s="35" t="s">
        <v>22</v>
      </c>
      <c r="G82" s="24"/>
      <c r="H82" s="1" t="s">
        <v>1</v>
      </c>
      <c r="I82" s="9" t="s">
        <v>1</v>
      </c>
      <c r="J82" s="6" t="s">
        <v>1</v>
      </c>
      <c r="K82" s="8" t="s">
        <v>1</v>
      </c>
      <c r="L82" s="6" t="s">
        <v>1</v>
      </c>
      <c r="M82" s="8" t="s">
        <v>19</v>
      </c>
      <c r="N82" s="6" t="s">
        <v>1</v>
      </c>
      <c r="O82" s="35" t="s">
        <v>1</v>
      </c>
      <c r="P82" s="24"/>
      <c r="Q82" s="6" t="s">
        <v>1</v>
      </c>
      <c r="R82" s="8" t="s">
        <v>1</v>
      </c>
      <c r="S82" s="1" t="s">
        <v>1</v>
      </c>
      <c r="T82" s="36" t="s">
        <v>20</v>
      </c>
      <c r="U82" s="24"/>
      <c r="X82" t="e">
        <f>VLOOKUP(A82,'Ark1'!A:C,1,FALSE)</f>
        <v>#N/A</v>
      </c>
      <c r="Y82" t="e">
        <f>VLOOKUP(A82,'Ark1'!A:B,2,FALSE)</f>
        <v>#N/A</v>
      </c>
    </row>
    <row r="83" spans="1:25" x14ac:dyDescent="0.25">
      <c r="A83" s="10">
        <v>4299</v>
      </c>
      <c r="B83" s="5" t="s">
        <v>236</v>
      </c>
      <c r="C83" s="6" t="s">
        <v>1</v>
      </c>
      <c r="D83" s="5" t="s">
        <v>140</v>
      </c>
      <c r="E83" s="6" t="s">
        <v>1</v>
      </c>
      <c r="F83" s="33" t="s">
        <v>36</v>
      </c>
      <c r="G83" s="24"/>
      <c r="H83" s="1" t="s">
        <v>1</v>
      </c>
      <c r="I83" s="7" t="s">
        <v>1</v>
      </c>
      <c r="J83" s="6" t="s">
        <v>1</v>
      </c>
      <c r="K83" s="5" t="s">
        <v>237</v>
      </c>
      <c r="L83" s="6" t="s">
        <v>1</v>
      </c>
      <c r="M83" s="5" t="s">
        <v>19</v>
      </c>
      <c r="N83" s="6" t="s">
        <v>1</v>
      </c>
      <c r="O83" s="33" t="s">
        <v>1</v>
      </c>
      <c r="P83" s="24"/>
      <c r="Q83" s="6" t="s">
        <v>1</v>
      </c>
      <c r="R83" s="5" t="s">
        <v>1</v>
      </c>
      <c r="S83" s="1" t="s">
        <v>1</v>
      </c>
      <c r="T83" s="34" t="s">
        <v>20</v>
      </c>
      <c r="U83" s="24"/>
      <c r="X83" t="e">
        <f>VLOOKUP(A83,'Ark1'!A:C,1,FALSE)</f>
        <v>#N/A</v>
      </c>
      <c r="Y83" t="e">
        <f>VLOOKUP(A83,'Ark1'!A:B,2,FALSE)</f>
        <v>#N/A</v>
      </c>
    </row>
    <row r="84" spans="1:25" x14ac:dyDescent="0.25">
      <c r="A84" s="12">
        <v>4300</v>
      </c>
      <c r="B84" s="9" t="s">
        <v>238</v>
      </c>
      <c r="C84" s="1" t="s">
        <v>1</v>
      </c>
      <c r="D84" s="9" t="s">
        <v>140</v>
      </c>
      <c r="E84" s="1" t="s">
        <v>1</v>
      </c>
      <c r="F84" s="36" t="s">
        <v>27</v>
      </c>
      <c r="G84" s="24"/>
      <c r="H84" s="1" t="s">
        <v>1</v>
      </c>
      <c r="I84" s="9" t="s">
        <v>28</v>
      </c>
      <c r="J84" s="1" t="s">
        <v>1</v>
      </c>
      <c r="K84" s="9" t="s">
        <v>1</v>
      </c>
      <c r="L84" s="1" t="s">
        <v>1</v>
      </c>
      <c r="M84" s="9" t="s">
        <v>19</v>
      </c>
      <c r="N84" s="1" t="s">
        <v>1</v>
      </c>
      <c r="O84" s="36" t="s">
        <v>1</v>
      </c>
      <c r="P84" s="24"/>
      <c r="Q84" s="1" t="s">
        <v>1</v>
      </c>
      <c r="R84" s="9" t="s">
        <v>1</v>
      </c>
      <c r="S84" s="1" t="s">
        <v>1</v>
      </c>
      <c r="T84" s="36" t="s">
        <v>1</v>
      </c>
      <c r="U84" s="24"/>
      <c r="X84" t="e">
        <f>VLOOKUP(A84,'Ark1'!A:C,1,FALSE)</f>
        <v>#N/A</v>
      </c>
      <c r="Y84" t="e">
        <f>VLOOKUP(A84,'Ark1'!A:B,2,FALSE)</f>
        <v>#N/A</v>
      </c>
    </row>
    <row r="85" spans="1:25" x14ac:dyDescent="0.25">
      <c r="A85" s="13">
        <v>4491</v>
      </c>
      <c r="B85" s="7" t="s">
        <v>239</v>
      </c>
      <c r="C85" s="1" t="s">
        <v>1</v>
      </c>
      <c r="D85" s="7" t="s">
        <v>140</v>
      </c>
      <c r="E85" s="1" t="s">
        <v>1</v>
      </c>
      <c r="F85" s="34" t="s">
        <v>27</v>
      </c>
      <c r="G85" s="24"/>
      <c r="H85" s="1" t="s">
        <v>1</v>
      </c>
      <c r="I85" s="7" t="s">
        <v>28</v>
      </c>
      <c r="J85" s="1" t="s">
        <v>1</v>
      </c>
      <c r="K85" s="7" t="s">
        <v>1</v>
      </c>
      <c r="L85" s="1" t="s">
        <v>1</v>
      </c>
      <c r="M85" s="7" t="s">
        <v>19</v>
      </c>
      <c r="N85" s="1" t="s">
        <v>1</v>
      </c>
      <c r="O85" s="34" t="s">
        <v>1</v>
      </c>
      <c r="P85" s="24"/>
      <c r="Q85" s="1" t="s">
        <v>1</v>
      </c>
      <c r="R85" s="7" t="s">
        <v>1</v>
      </c>
      <c r="S85" s="1" t="s">
        <v>1</v>
      </c>
      <c r="T85" s="34" t="s">
        <v>1</v>
      </c>
      <c r="U85" s="24"/>
      <c r="X85" t="e">
        <f>VLOOKUP(A85,'Ark1'!A:C,1,FALSE)</f>
        <v>#N/A</v>
      </c>
      <c r="Y85" t="e">
        <f>VLOOKUP(A85,'Ark1'!A:B,2,FALSE)</f>
        <v>#N/A</v>
      </c>
    </row>
    <row r="86" spans="1:25" x14ac:dyDescent="0.25">
      <c r="A86" s="12">
        <v>4492</v>
      </c>
      <c r="B86" s="9" t="s">
        <v>240</v>
      </c>
      <c r="C86" s="1" t="s">
        <v>1</v>
      </c>
      <c r="D86" s="9" t="s">
        <v>140</v>
      </c>
      <c r="E86" s="1" t="s">
        <v>1</v>
      </c>
      <c r="F86" s="36" t="s">
        <v>27</v>
      </c>
      <c r="G86" s="24"/>
      <c r="H86" s="1" t="s">
        <v>1</v>
      </c>
      <c r="I86" s="9" t="s">
        <v>28</v>
      </c>
      <c r="J86" s="1" t="s">
        <v>1</v>
      </c>
      <c r="K86" s="9" t="s">
        <v>1</v>
      </c>
      <c r="L86" s="1" t="s">
        <v>1</v>
      </c>
      <c r="M86" s="9" t="s">
        <v>19</v>
      </c>
      <c r="N86" s="1" t="s">
        <v>1</v>
      </c>
      <c r="O86" s="36" t="s">
        <v>1</v>
      </c>
      <c r="P86" s="24"/>
      <c r="Q86" s="1" t="s">
        <v>1</v>
      </c>
      <c r="R86" s="9" t="s">
        <v>1</v>
      </c>
      <c r="S86" s="1" t="s">
        <v>1</v>
      </c>
      <c r="T86" s="36" t="s">
        <v>1</v>
      </c>
      <c r="U86" s="24"/>
      <c r="X86" t="e">
        <f>VLOOKUP(A86,'Ark1'!A:C,1,FALSE)</f>
        <v>#N/A</v>
      </c>
      <c r="Y86" t="e">
        <f>VLOOKUP(A86,'Ark1'!A:B,2,FALSE)</f>
        <v>#N/A</v>
      </c>
    </row>
    <row r="87" spans="1:25" x14ac:dyDescent="0.25">
      <c r="A87" s="13">
        <v>4493</v>
      </c>
      <c r="B87" s="7" t="s">
        <v>241</v>
      </c>
      <c r="C87" s="1" t="s">
        <v>1</v>
      </c>
      <c r="D87" s="7" t="s">
        <v>140</v>
      </c>
      <c r="E87" s="1" t="s">
        <v>1</v>
      </c>
      <c r="F87" s="34" t="s">
        <v>27</v>
      </c>
      <c r="G87" s="24"/>
      <c r="H87" s="1" t="s">
        <v>1</v>
      </c>
      <c r="I87" s="7" t="s">
        <v>28</v>
      </c>
      <c r="J87" s="1" t="s">
        <v>1</v>
      </c>
      <c r="K87" s="7" t="s">
        <v>1</v>
      </c>
      <c r="L87" s="1" t="s">
        <v>1</v>
      </c>
      <c r="M87" s="7" t="s">
        <v>19</v>
      </c>
      <c r="N87" s="1" t="s">
        <v>1</v>
      </c>
      <c r="O87" s="34" t="s">
        <v>1</v>
      </c>
      <c r="P87" s="24"/>
      <c r="Q87" s="1" t="s">
        <v>1</v>
      </c>
      <c r="R87" s="7" t="s">
        <v>1</v>
      </c>
      <c r="S87" s="1" t="s">
        <v>1</v>
      </c>
      <c r="T87" s="34" t="s">
        <v>1</v>
      </c>
      <c r="U87" s="24"/>
      <c r="X87" t="e">
        <f>VLOOKUP(A87,'Ark1'!A:C,1,FALSE)</f>
        <v>#N/A</v>
      </c>
      <c r="Y87" t="e">
        <f>VLOOKUP(A87,'Ark1'!A:B,2,FALSE)</f>
        <v>#N/A</v>
      </c>
    </row>
    <row r="88" spans="1:25" x14ac:dyDescent="0.25">
      <c r="A88" s="12">
        <v>4510</v>
      </c>
      <c r="B88" s="9" t="s">
        <v>242</v>
      </c>
      <c r="C88" s="1" t="s">
        <v>1</v>
      </c>
      <c r="D88" s="9" t="s">
        <v>140</v>
      </c>
      <c r="E88" s="1" t="s">
        <v>1</v>
      </c>
      <c r="F88" s="36" t="s">
        <v>27</v>
      </c>
      <c r="G88" s="24"/>
      <c r="H88" s="1" t="s">
        <v>1</v>
      </c>
      <c r="I88" s="9" t="s">
        <v>28</v>
      </c>
      <c r="J88" s="1" t="s">
        <v>1</v>
      </c>
      <c r="K88" s="9" t="s">
        <v>1</v>
      </c>
      <c r="L88" s="1" t="s">
        <v>1</v>
      </c>
      <c r="M88" s="9" t="s">
        <v>19</v>
      </c>
      <c r="N88" s="1" t="s">
        <v>1</v>
      </c>
      <c r="O88" s="36" t="s">
        <v>1</v>
      </c>
      <c r="P88" s="24"/>
      <c r="Q88" s="1" t="s">
        <v>1</v>
      </c>
      <c r="R88" s="9" t="s">
        <v>1</v>
      </c>
      <c r="S88" s="1" t="s">
        <v>1</v>
      </c>
      <c r="T88" s="36" t="s">
        <v>1</v>
      </c>
      <c r="U88" s="24"/>
      <c r="X88" t="e">
        <f>VLOOKUP(A88,'Ark1'!A:C,1,FALSE)</f>
        <v>#N/A</v>
      </c>
      <c r="Y88" t="e">
        <f>VLOOKUP(A88,'Ark1'!A:B,2,FALSE)</f>
        <v>#N/A</v>
      </c>
    </row>
    <row r="89" spans="1:25" x14ac:dyDescent="0.25">
      <c r="A89" s="13">
        <v>4515</v>
      </c>
      <c r="B89" s="7" t="s">
        <v>243</v>
      </c>
      <c r="C89" s="1" t="s">
        <v>1</v>
      </c>
      <c r="D89" s="7" t="s">
        <v>140</v>
      </c>
      <c r="E89" s="1" t="s">
        <v>1</v>
      </c>
      <c r="F89" s="34" t="s">
        <v>27</v>
      </c>
      <c r="G89" s="24"/>
      <c r="H89" s="1" t="s">
        <v>1</v>
      </c>
      <c r="I89" s="7" t="s">
        <v>28</v>
      </c>
      <c r="J89" s="1" t="s">
        <v>1</v>
      </c>
      <c r="K89" s="7" t="s">
        <v>1</v>
      </c>
      <c r="L89" s="1" t="s">
        <v>1</v>
      </c>
      <c r="M89" s="7" t="s">
        <v>19</v>
      </c>
      <c r="N89" s="1" t="s">
        <v>1</v>
      </c>
      <c r="O89" s="34" t="s">
        <v>1</v>
      </c>
      <c r="P89" s="24"/>
      <c r="Q89" s="1" t="s">
        <v>1</v>
      </c>
      <c r="R89" s="7" t="s">
        <v>1</v>
      </c>
      <c r="S89" s="1" t="s">
        <v>1</v>
      </c>
      <c r="T89" s="34" t="s">
        <v>1</v>
      </c>
      <c r="U89" s="24"/>
      <c r="X89" t="e">
        <f>VLOOKUP(A89,'Ark1'!A:C,1,FALSE)</f>
        <v>#N/A</v>
      </c>
      <c r="Y89" t="e">
        <f>VLOOKUP(A89,'Ark1'!A:B,2,FALSE)</f>
        <v>#N/A</v>
      </c>
    </row>
    <row r="90" spans="1:25" x14ac:dyDescent="0.25">
      <c r="A90" s="12">
        <v>4520</v>
      </c>
      <c r="B90" s="9" t="s">
        <v>244</v>
      </c>
      <c r="C90" s="1" t="s">
        <v>1</v>
      </c>
      <c r="D90" s="9" t="s">
        <v>140</v>
      </c>
      <c r="E90" s="1" t="s">
        <v>1</v>
      </c>
      <c r="F90" s="36" t="s">
        <v>27</v>
      </c>
      <c r="G90" s="24"/>
      <c r="H90" s="1" t="s">
        <v>1</v>
      </c>
      <c r="I90" s="9" t="s">
        <v>28</v>
      </c>
      <c r="J90" s="1" t="s">
        <v>1</v>
      </c>
      <c r="K90" s="9" t="s">
        <v>1</v>
      </c>
      <c r="L90" s="1" t="s">
        <v>1</v>
      </c>
      <c r="M90" s="9" t="s">
        <v>19</v>
      </c>
      <c r="N90" s="1" t="s">
        <v>1</v>
      </c>
      <c r="O90" s="36" t="s">
        <v>1</v>
      </c>
      <c r="P90" s="24"/>
      <c r="Q90" s="1" t="s">
        <v>1</v>
      </c>
      <c r="R90" s="9" t="s">
        <v>1</v>
      </c>
      <c r="S90" s="1" t="s">
        <v>1</v>
      </c>
      <c r="T90" s="36" t="s">
        <v>1</v>
      </c>
      <c r="U90" s="24"/>
      <c r="X90" t="e">
        <f>VLOOKUP(A90,'Ark1'!A:C,1,FALSE)</f>
        <v>#N/A</v>
      </c>
      <c r="Y90" t="e">
        <f>VLOOKUP(A90,'Ark1'!A:B,2,FALSE)</f>
        <v>#N/A</v>
      </c>
    </row>
    <row r="91" spans="1:25" x14ac:dyDescent="0.25">
      <c r="A91" s="13">
        <v>4530</v>
      </c>
      <c r="B91" s="7" t="s">
        <v>245</v>
      </c>
      <c r="C91" s="1" t="s">
        <v>1</v>
      </c>
      <c r="D91" s="7" t="s">
        <v>140</v>
      </c>
      <c r="E91" s="1" t="s">
        <v>1</v>
      </c>
      <c r="F91" s="34" t="s">
        <v>27</v>
      </c>
      <c r="G91" s="24"/>
      <c r="H91" s="1" t="s">
        <v>1</v>
      </c>
      <c r="I91" s="7" t="s">
        <v>28</v>
      </c>
      <c r="J91" s="1" t="s">
        <v>1</v>
      </c>
      <c r="K91" s="7" t="s">
        <v>1</v>
      </c>
      <c r="L91" s="1" t="s">
        <v>1</v>
      </c>
      <c r="M91" s="7" t="s">
        <v>19</v>
      </c>
      <c r="N91" s="1" t="s">
        <v>1</v>
      </c>
      <c r="O91" s="34" t="s">
        <v>1</v>
      </c>
      <c r="P91" s="24"/>
      <c r="Q91" s="1" t="s">
        <v>1</v>
      </c>
      <c r="R91" s="7" t="s">
        <v>1</v>
      </c>
      <c r="S91" s="1" t="s">
        <v>1</v>
      </c>
      <c r="T91" s="34" t="s">
        <v>1</v>
      </c>
      <c r="U91" s="24"/>
      <c r="X91" t="e">
        <f>VLOOKUP(A91,'Ark1'!A:C,1,FALSE)</f>
        <v>#N/A</v>
      </c>
      <c r="Y91" t="e">
        <f>VLOOKUP(A91,'Ark1'!A:B,2,FALSE)</f>
        <v>#N/A</v>
      </c>
    </row>
    <row r="92" spans="1:25" x14ac:dyDescent="0.25">
      <c r="A92" s="12">
        <v>4540</v>
      </c>
      <c r="B92" s="9" t="s">
        <v>246</v>
      </c>
      <c r="C92" s="1" t="s">
        <v>1</v>
      </c>
      <c r="D92" s="9" t="s">
        <v>140</v>
      </c>
      <c r="E92" s="1" t="s">
        <v>1</v>
      </c>
      <c r="F92" s="36" t="s">
        <v>27</v>
      </c>
      <c r="G92" s="24"/>
      <c r="H92" s="1" t="s">
        <v>1</v>
      </c>
      <c r="I92" s="9" t="s">
        <v>28</v>
      </c>
      <c r="J92" s="1" t="s">
        <v>1</v>
      </c>
      <c r="K92" s="9" t="s">
        <v>1</v>
      </c>
      <c r="L92" s="1" t="s">
        <v>1</v>
      </c>
      <c r="M92" s="9" t="s">
        <v>19</v>
      </c>
      <c r="N92" s="1" t="s">
        <v>1</v>
      </c>
      <c r="O92" s="36" t="s">
        <v>1</v>
      </c>
      <c r="P92" s="24"/>
      <c r="Q92" s="1" t="s">
        <v>1</v>
      </c>
      <c r="R92" s="9" t="s">
        <v>1</v>
      </c>
      <c r="S92" s="1" t="s">
        <v>1</v>
      </c>
      <c r="T92" s="36" t="s">
        <v>1</v>
      </c>
      <c r="U92" s="24"/>
      <c r="X92" t="e">
        <f>VLOOKUP(A92,'Ark1'!A:C,1,FALSE)</f>
        <v>#N/A</v>
      </c>
      <c r="Y92" t="e">
        <f>VLOOKUP(A92,'Ark1'!A:B,2,FALSE)</f>
        <v>#N/A</v>
      </c>
    </row>
    <row r="93" spans="1:25" x14ac:dyDescent="0.25">
      <c r="A93" s="13">
        <v>4550</v>
      </c>
      <c r="B93" s="7" t="s">
        <v>247</v>
      </c>
      <c r="C93" s="1" t="s">
        <v>1</v>
      </c>
      <c r="D93" s="7" t="s">
        <v>140</v>
      </c>
      <c r="E93" s="1" t="s">
        <v>1</v>
      </c>
      <c r="F93" s="34" t="s">
        <v>27</v>
      </c>
      <c r="G93" s="24"/>
      <c r="H93" s="1" t="s">
        <v>1</v>
      </c>
      <c r="I93" s="7" t="s">
        <v>28</v>
      </c>
      <c r="J93" s="1" t="s">
        <v>1</v>
      </c>
      <c r="K93" s="7" t="s">
        <v>1</v>
      </c>
      <c r="L93" s="1" t="s">
        <v>1</v>
      </c>
      <c r="M93" s="7" t="s">
        <v>19</v>
      </c>
      <c r="N93" s="1" t="s">
        <v>1</v>
      </c>
      <c r="O93" s="34" t="s">
        <v>1</v>
      </c>
      <c r="P93" s="24"/>
      <c r="Q93" s="1" t="s">
        <v>1</v>
      </c>
      <c r="R93" s="7" t="s">
        <v>1</v>
      </c>
      <c r="S93" s="1" t="s">
        <v>1</v>
      </c>
      <c r="T93" s="34" t="s">
        <v>1</v>
      </c>
      <c r="U93" s="24"/>
      <c r="X93" t="e">
        <f>VLOOKUP(A93,'Ark1'!A:C,1,FALSE)</f>
        <v>#N/A</v>
      </c>
      <c r="Y93" t="e">
        <f>VLOOKUP(A93,'Ark1'!A:B,2,FALSE)</f>
        <v>#N/A</v>
      </c>
    </row>
    <row r="94" spans="1:25" x14ac:dyDescent="0.25">
      <c r="A94" s="11">
        <v>4599</v>
      </c>
      <c r="B94" s="8" t="s">
        <v>248</v>
      </c>
      <c r="C94" s="6" t="s">
        <v>1</v>
      </c>
      <c r="D94" s="8" t="s">
        <v>140</v>
      </c>
      <c r="E94" s="6" t="s">
        <v>1</v>
      </c>
      <c r="F94" s="35" t="s">
        <v>36</v>
      </c>
      <c r="G94" s="24"/>
      <c r="H94" s="1" t="s">
        <v>1</v>
      </c>
      <c r="I94" s="9" t="s">
        <v>1</v>
      </c>
      <c r="J94" s="6" t="s">
        <v>1</v>
      </c>
      <c r="K94" s="8" t="s">
        <v>249</v>
      </c>
      <c r="L94" s="6" t="s">
        <v>1</v>
      </c>
      <c r="M94" s="8" t="s">
        <v>19</v>
      </c>
      <c r="N94" s="6" t="s">
        <v>1</v>
      </c>
      <c r="O94" s="35" t="s">
        <v>1</v>
      </c>
      <c r="P94" s="24"/>
      <c r="Q94" s="6" t="s">
        <v>1</v>
      </c>
      <c r="R94" s="8" t="s">
        <v>1</v>
      </c>
      <c r="S94" s="1" t="s">
        <v>1</v>
      </c>
      <c r="T94" s="36" t="s">
        <v>20</v>
      </c>
      <c r="U94" s="24"/>
      <c r="X94" t="e">
        <f>VLOOKUP(A94,'Ark1'!A:C,1,FALSE)</f>
        <v>#N/A</v>
      </c>
      <c r="Y94" t="e">
        <f>VLOOKUP(A94,'Ark1'!A:B,2,FALSE)</f>
        <v>#N/A</v>
      </c>
    </row>
    <row r="95" spans="1:25" x14ac:dyDescent="0.25">
      <c r="A95" s="13">
        <v>4731</v>
      </c>
      <c r="B95" s="7" t="s">
        <v>250</v>
      </c>
      <c r="C95" s="1" t="s">
        <v>1</v>
      </c>
      <c r="D95" s="7" t="s">
        <v>140</v>
      </c>
      <c r="E95" s="1" t="s">
        <v>1</v>
      </c>
      <c r="F95" s="34" t="s">
        <v>27</v>
      </c>
      <c r="G95" s="24"/>
      <c r="H95" s="1" t="s">
        <v>1</v>
      </c>
      <c r="I95" s="7" t="s">
        <v>28</v>
      </c>
      <c r="J95" s="1" t="s">
        <v>1</v>
      </c>
      <c r="K95" s="7" t="s">
        <v>1</v>
      </c>
      <c r="L95" s="1" t="s">
        <v>1</v>
      </c>
      <c r="M95" s="7" t="s">
        <v>19</v>
      </c>
      <c r="N95" s="1" t="s">
        <v>1</v>
      </c>
      <c r="O95" s="34" t="s">
        <v>1</v>
      </c>
      <c r="P95" s="24"/>
      <c r="Q95" s="1" t="s">
        <v>1</v>
      </c>
      <c r="R95" s="7" t="s">
        <v>1</v>
      </c>
      <c r="S95" s="1" t="s">
        <v>1</v>
      </c>
      <c r="T95" s="34" t="s">
        <v>1</v>
      </c>
      <c r="U95" s="24"/>
      <c r="X95" t="e">
        <f>VLOOKUP(A95,'Ark1'!A:C,1,FALSE)</f>
        <v>#N/A</v>
      </c>
      <c r="Y95" t="e">
        <f>VLOOKUP(A95,'Ark1'!A:B,2,FALSE)</f>
        <v>#N/A</v>
      </c>
    </row>
    <row r="96" spans="1:25" x14ac:dyDescent="0.25">
      <c r="A96" s="12">
        <v>4732</v>
      </c>
      <c r="B96" s="9" t="s">
        <v>251</v>
      </c>
      <c r="C96" s="1" t="s">
        <v>1</v>
      </c>
      <c r="D96" s="9" t="s">
        <v>140</v>
      </c>
      <c r="E96" s="1" t="s">
        <v>1</v>
      </c>
      <c r="F96" s="36" t="s">
        <v>27</v>
      </c>
      <c r="G96" s="24"/>
      <c r="H96" s="1" t="s">
        <v>1</v>
      </c>
      <c r="I96" s="9" t="s">
        <v>28</v>
      </c>
      <c r="J96" s="1" t="s">
        <v>1</v>
      </c>
      <c r="K96" s="9" t="s">
        <v>1</v>
      </c>
      <c r="L96" s="1" t="s">
        <v>1</v>
      </c>
      <c r="M96" s="9" t="s">
        <v>19</v>
      </c>
      <c r="N96" s="1" t="s">
        <v>1</v>
      </c>
      <c r="O96" s="36" t="s">
        <v>1</v>
      </c>
      <c r="P96" s="24"/>
      <c r="Q96" s="1" t="s">
        <v>1</v>
      </c>
      <c r="R96" s="9" t="s">
        <v>1</v>
      </c>
      <c r="S96" s="1" t="s">
        <v>1</v>
      </c>
      <c r="T96" s="36" t="s">
        <v>1</v>
      </c>
      <c r="U96" s="24"/>
      <c r="X96" t="e">
        <f>VLOOKUP(A96,'Ark1'!A:C,1,FALSE)</f>
        <v>#N/A</v>
      </c>
      <c r="Y96" t="e">
        <f>VLOOKUP(A96,'Ark1'!A:B,2,FALSE)</f>
        <v>#N/A</v>
      </c>
    </row>
    <row r="97" spans="1:25" x14ac:dyDescent="0.25">
      <c r="A97" s="10">
        <v>5100</v>
      </c>
      <c r="B97" s="5" t="s">
        <v>252</v>
      </c>
      <c r="C97" s="6" t="s">
        <v>1</v>
      </c>
      <c r="D97" s="5" t="s">
        <v>140</v>
      </c>
      <c r="E97" s="6" t="s">
        <v>1</v>
      </c>
      <c r="F97" s="33" t="s">
        <v>22</v>
      </c>
      <c r="G97" s="24"/>
      <c r="H97" s="1" t="s">
        <v>1</v>
      </c>
      <c r="I97" s="7" t="s">
        <v>1</v>
      </c>
      <c r="J97" s="6" t="s">
        <v>1</v>
      </c>
      <c r="K97" s="5" t="s">
        <v>1</v>
      </c>
      <c r="L97" s="6" t="s">
        <v>1</v>
      </c>
      <c r="M97" s="5" t="s">
        <v>19</v>
      </c>
      <c r="N97" s="6" t="s">
        <v>1</v>
      </c>
      <c r="O97" s="33" t="s">
        <v>1</v>
      </c>
      <c r="P97" s="24"/>
      <c r="Q97" s="6" t="s">
        <v>1</v>
      </c>
      <c r="R97" s="5" t="s">
        <v>1</v>
      </c>
      <c r="S97" s="1" t="s">
        <v>1</v>
      </c>
      <c r="T97" s="34" t="s">
        <v>20</v>
      </c>
      <c r="U97" s="24"/>
      <c r="X97" t="e">
        <f>VLOOKUP(A97,'Ark1'!A:C,1,FALSE)</f>
        <v>#N/A</v>
      </c>
      <c r="Y97" t="e">
        <f>VLOOKUP(A97,'Ark1'!A:B,2,FALSE)</f>
        <v>#N/A</v>
      </c>
    </row>
    <row r="98" spans="1:25" x14ac:dyDescent="0.25">
      <c r="A98" s="12">
        <v>5130</v>
      </c>
      <c r="B98" s="9" t="s">
        <v>253</v>
      </c>
      <c r="C98" s="1" t="s">
        <v>1</v>
      </c>
      <c r="D98" s="9" t="s">
        <v>140</v>
      </c>
      <c r="E98" s="1" t="s">
        <v>1</v>
      </c>
      <c r="F98" s="36" t="s">
        <v>27</v>
      </c>
      <c r="G98" s="24"/>
      <c r="H98" s="1" t="s">
        <v>1</v>
      </c>
      <c r="I98" s="9" t="s">
        <v>28</v>
      </c>
      <c r="J98" s="1" t="s">
        <v>1</v>
      </c>
      <c r="K98" s="9" t="s">
        <v>1</v>
      </c>
      <c r="L98" s="1" t="s">
        <v>1</v>
      </c>
      <c r="M98" s="9" t="s">
        <v>30</v>
      </c>
      <c r="N98" s="1" t="s">
        <v>1</v>
      </c>
      <c r="O98" s="36" t="s">
        <v>31</v>
      </c>
      <c r="P98" s="24"/>
      <c r="Q98" s="1" t="s">
        <v>1</v>
      </c>
      <c r="R98" s="9" t="s">
        <v>32</v>
      </c>
      <c r="S98" s="1" t="s">
        <v>1</v>
      </c>
      <c r="T98" s="36" t="s">
        <v>1</v>
      </c>
      <c r="U98" s="24"/>
      <c r="X98" t="e">
        <f>VLOOKUP(A98,'Ark1'!A:C,1,FALSE)</f>
        <v>#N/A</v>
      </c>
      <c r="Y98" t="e">
        <f>VLOOKUP(A98,'Ark1'!A:B,2,FALSE)</f>
        <v>#N/A</v>
      </c>
    </row>
    <row r="99" spans="1:25" x14ac:dyDescent="0.25">
      <c r="A99" s="13">
        <v>5135</v>
      </c>
      <c r="B99" s="7" t="s">
        <v>254</v>
      </c>
      <c r="C99" s="1" t="s">
        <v>1</v>
      </c>
      <c r="D99" s="7" t="s">
        <v>140</v>
      </c>
      <c r="E99" s="1" t="s">
        <v>1</v>
      </c>
      <c r="F99" s="34" t="s">
        <v>27</v>
      </c>
      <c r="G99" s="24"/>
      <c r="H99" s="1" t="s">
        <v>1</v>
      </c>
      <c r="I99" s="7" t="s">
        <v>28</v>
      </c>
      <c r="J99" s="1" t="s">
        <v>1</v>
      </c>
      <c r="K99" s="7" t="s">
        <v>1</v>
      </c>
      <c r="L99" s="1" t="s">
        <v>1</v>
      </c>
      <c r="M99" s="7" t="s">
        <v>19</v>
      </c>
      <c r="N99" s="1" t="s">
        <v>1</v>
      </c>
      <c r="O99" s="34" t="s">
        <v>1</v>
      </c>
      <c r="P99" s="24"/>
      <c r="Q99" s="1" t="s">
        <v>1</v>
      </c>
      <c r="R99" s="7" t="s">
        <v>1</v>
      </c>
      <c r="S99" s="1" t="s">
        <v>1</v>
      </c>
      <c r="T99" s="34" t="s">
        <v>1</v>
      </c>
      <c r="U99" s="24"/>
      <c r="X99" t="e">
        <f>VLOOKUP(A99,'Ark1'!A:C,1,FALSE)</f>
        <v>#N/A</v>
      </c>
      <c r="Y99" t="e">
        <f>VLOOKUP(A99,'Ark1'!A:B,2,FALSE)</f>
        <v>#N/A</v>
      </c>
    </row>
    <row r="100" spans="1:25" x14ac:dyDescent="0.25">
      <c r="A100" s="12">
        <v>5136</v>
      </c>
      <c r="B100" s="9" t="s">
        <v>255</v>
      </c>
      <c r="C100" s="1" t="s">
        <v>1</v>
      </c>
      <c r="D100" s="9" t="s">
        <v>140</v>
      </c>
      <c r="E100" s="1" t="s">
        <v>1</v>
      </c>
      <c r="F100" s="36" t="s">
        <v>27</v>
      </c>
      <c r="G100" s="24"/>
      <c r="H100" s="1" t="s">
        <v>1</v>
      </c>
      <c r="I100" s="9" t="s">
        <v>28</v>
      </c>
      <c r="J100" s="1" t="s">
        <v>1</v>
      </c>
      <c r="K100" s="9" t="s">
        <v>1</v>
      </c>
      <c r="L100" s="1" t="s">
        <v>1</v>
      </c>
      <c r="M100" s="9" t="s">
        <v>19</v>
      </c>
      <c r="N100" s="1" t="s">
        <v>1</v>
      </c>
      <c r="O100" s="36" t="s">
        <v>1</v>
      </c>
      <c r="P100" s="24"/>
      <c r="Q100" s="1" t="s">
        <v>1</v>
      </c>
      <c r="R100" s="9" t="s">
        <v>1</v>
      </c>
      <c r="S100" s="1" t="s">
        <v>1</v>
      </c>
      <c r="T100" s="36" t="s">
        <v>1</v>
      </c>
      <c r="U100" s="24"/>
      <c r="X100" t="e">
        <f>VLOOKUP(A100,'Ark1'!A:C,1,FALSE)</f>
        <v>#N/A</v>
      </c>
      <c r="Y100" t="e">
        <f>VLOOKUP(A100,'Ark1'!A:B,2,FALSE)</f>
        <v>#N/A</v>
      </c>
    </row>
    <row r="101" spans="1:25" x14ac:dyDescent="0.25">
      <c r="A101" s="13">
        <v>5160</v>
      </c>
      <c r="B101" s="7" t="s">
        <v>256</v>
      </c>
      <c r="C101" s="1" t="s">
        <v>1</v>
      </c>
      <c r="D101" s="7" t="s">
        <v>140</v>
      </c>
      <c r="E101" s="1" t="s">
        <v>1</v>
      </c>
      <c r="F101" s="34" t="s">
        <v>27</v>
      </c>
      <c r="G101" s="24"/>
      <c r="H101" s="1" t="s">
        <v>1</v>
      </c>
      <c r="I101" s="7" t="s">
        <v>28</v>
      </c>
      <c r="J101" s="1" t="s">
        <v>1</v>
      </c>
      <c r="K101" s="7" t="s">
        <v>1</v>
      </c>
      <c r="L101" s="1" t="s">
        <v>1</v>
      </c>
      <c r="M101" s="7" t="s">
        <v>30</v>
      </c>
      <c r="N101" s="1" t="s">
        <v>1</v>
      </c>
      <c r="O101" s="34" t="s">
        <v>31</v>
      </c>
      <c r="P101" s="24"/>
      <c r="Q101" s="1" t="s">
        <v>1</v>
      </c>
      <c r="R101" s="7" t="s">
        <v>32</v>
      </c>
      <c r="S101" s="1" t="s">
        <v>1</v>
      </c>
      <c r="T101" s="34" t="s">
        <v>1</v>
      </c>
      <c r="U101" s="24"/>
      <c r="X101" t="e">
        <f>VLOOKUP(A101,'Ark1'!A:C,1,FALSE)</f>
        <v>#N/A</v>
      </c>
      <c r="Y101" t="e">
        <f>VLOOKUP(A101,'Ark1'!A:B,2,FALSE)</f>
        <v>#N/A</v>
      </c>
    </row>
    <row r="102" spans="1:25" ht="21" x14ac:dyDescent="0.25">
      <c r="A102" s="12">
        <v>5170</v>
      </c>
      <c r="B102" s="9" t="s">
        <v>257</v>
      </c>
      <c r="C102" s="1" t="s">
        <v>1</v>
      </c>
      <c r="D102" s="9" t="s">
        <v>140</v>
      </c>
      <c r="E102" s="1" t="s">
        <v>1</v>
      </c>
      <c r="F102" s="36" t="s">
        <v>27</v>
      </c>
      <c r="G102" s="24"/>
      <c r="H102" s="1" t="s">
        <v>1</v>
      </c>
      <c r="I102" s="9" t="s">
        <v>28</v>
      </c>
      <c r="J102" s="1" t="s">
        <v>1</v>
      </c>
      <c r="K102" s="9" t="s">
        <v>1</v>
      </c>
      <c r="L102" s="1" t="s">
        <v>1</v>
      </c>
      <c r="M102" s="9" t="s">
        <v>30</v>
      </c>
      <c r="N102" s="1" t="s">
        <v>1</v>
      </c>
      <c r="O102" s="36" t="s">
        <v>31</v>
      </c>
      <c r="P102" s="24"/>
      <c r="Q102" s="1" t="s">
        <v>1</v>
      </c>
      <c r="R102" s="9" t="s">
        <v>32</v>
      </c>
      <c r="S102" s="1" t="s">
        <v>1</v>
      </c>
      <c r="T102" s="36" t="s">
        <v>1</v>
      </c>
      <c r="U102" s="24"/>
      <c r="X102" t="e">
        <f>VLOOKUP(A102,'Ark1'!A:C,1,FALSE)</f>
        <v>#N/A</v>
      </c>
      <c r="Y102" t="e">
        <f>VLOOKUP(A102,'Ark1'!A:B,2,FALSE)</f>
        <v>#N/A</v>
      </c>
    </row>
    <row r="103" spans="1:25" x14ac:dyDescent="0.25">
      <c r="A103" s="10">
        <v>5199</v>
      </c>
      <c r="B103" s="5" t="s">
        <v>258</v>
      </c>
      <c r="C103" s="6" t="s">
        <v>1</v>
      </c>
      <c r="D103" s="5" t="s">
        <v>140</v>
      </c>
      <c r="E103" s="6" t="s">
        <v>1</v>
      </c>
      <c r="F103" s="33" t="s">
        <v>36</v>
      </c>
      <c r="G103" s="24"/>
      <c r="H103" s="1" t="s">
        <v>1</v>
      </c>
      <c r="I103" s="7" t="s">
        <v>1</v>
      </c>
      <c r="J103" s="6" t="s">
        <v>1</v>
      </c>
      <c r="K103" s="5" t="s">
        <v>259</v>
      </c>
      <c r="L103" s="6" t="s">
        <v>1</v>
      </c>
      <c r="M103" s="5" t="s">
        <v>19</v>
      </c>
      <c r="N103" s="6" t="s">
        <v>1</v>
      </c>
      <c r="O103" s="33" t="s">
        <v>1</v>
      </c>
      <c r="P103" s="24"/>
      <c r="Q103" s="6" t="s">
        <v>1</v>
      </c>
      <c r="R103" s="5" t="s">
        <v>1</v>
      </c>
      <c r="S103" s="1" t="s">
        <v>1</v>
      </c>
      <c r="T103" s="34" t="s">
        <v>20</v>
      </c>
      <c r="U103" s="24"/>
      <c r="X103" t="e">
        <f>VLOOKUP(A103,'Ark1'!A:C,1,FALSE)</f>
        <v>#N/A</v>
      </c>
      <c r="Y103" t="e">
        <f>VLOOKUP(A103,'Ark1'!A:B,2,FALSE)</f>
        <v>#N/A</v>
      </c>
    </row>
    <row r="104" spans="1:25" x14ac:dyDescent="0.25">
      <c r="A104" s="11">
        <v>5600</v>
      </c>
      <c r="B104" s="8" t="s">
        <v>260</v>
      </c>
      <c r="C104" s="6" t="s">
        <v>1</v>
      </c>
      <c r="D104" s="8" t="s">
        <v>140</v>
      </c>
      <c r="E104" s="6" t="s">
        <v>1</v>
      </c>
      <c r="F104" s="35" t="s">
        <v>22</v>
      </c>
      <c r="G104" s="24"/>
      <c r="H104" s="1" t="s">
        <v>1</v>
      </c>
      <c r="I104" s="9" t="s">
        <v>1</v>
      </c>
      <c r="J104" s="6" t="s">
        <v>1</v>
      </c>
      <c r="K104" s="8" t="s">
        <v>1</v>
      </c>
      <c r="L104" s="6" t="s">
        <v>1</v>
      </c>
      <c r="M104" s="8" t="s">
        <v>19</v>
      </c>
      <c r="N104" s="6" t="s">
        <v>1</v>
      </c>
      <c r="O104" s="35" t="s">
        <v>1</v>
      </c>
      <c r="P104" s="24"/>
      <c r="Q104" s="6" t="s">
        <v>1</v>
      </c>
      <c r="R104" s="8" t="s">
        <v>1</v>
      </c>
      <c r="S104" s="1" t="s">
        <v>1</v>
      </c>
      <c r="T104" s="36" t="s">
        <v>20</v>
      </c>
      <c r="U104" s="24"/>
      <c r="X104" t="e">
        <f>VLOOKUP(A104,'Ark1'!A:C,1,FALSE)</f>
        <v>#N/A</v>
      </c>
      <c r="Y104" t="e">
        <f>VLOOKUP(A104,'Ark1'!A:B,2,FALSE)</f>
        <v>#N/A</v>
      </c>
    </row>
    <row r="105" spans="1:25" x14ac:dyDescent="0.25">
      <c r="A105" s="13">
        <v>5611</v>
      </c>
      <c r="B105" s="7" t="s">
        <v>261</v>
      </c>
      <c r="C105" s="1" t="s">
        <v>1</v>
      </c>
      <c r="D105" s="7" t="s">
        <v>140</v>
      </c>
      <c r="E105" s="1" t="s">
        <v>1</v>
      </c>
      <c r="F105" s="34" t="s">
        <v>27</v>
      </c>
      <c r="G105" s="24"/>
      <c r="H105" s="1" t="s">
        <v>1</v>
      </c>
      <c r="I105" s="7" t="s">
        <v>28</v>
      </c>
      <c r="J105" s="1" t="s">
        <v>1</v>
      </c>
      <c r="K105" s="7" t="s">
        <v>1</v>
      </c>
      <c r="L105" s="1" t="s">
        <v>1</v>
      </c>
      <c r="M105" s="7" t="s">
        <v>30</v>
      </c>
      <c r="N105" s="1" t="s">
        <v>1</v>
      </c>
      <c r="O105" s="34" t="s">
        <v>31</v>
      </c>
      <c r="P105" s="24"/>
      <c r="Q105" s="1" t="s">
        <v>1</v>
      </c>
      <c r="R105" s="7" t="s">
        <v>32</v>
      </c>
      <c r="S105" s="1" t="s">
        <v>1</v>
      </c>
      <c r="T105" s="34" t="s">
        <v>1</v>
      </c>
      <c r="U105" s="24"/>
      <c r="X105">
        <f>VLOOKUP(A105,'Ark1'!A:C,1,FALSE)</f>
        <v>5611</v>
      </c>
      <c r="Y105" t="str">
        <f>VLOOKUP(A105,'Ark1'!A:B,2,FALSE)</f>
        <v>Personbilar drivmedel</v>
      </c>
    </row>
    <row r="106" spans="1:25" x14ac:dyDescent="0.25">
      <c r="A106" s="12">
        <v>5612</v>
      </c>
      <c r="B106" s="9" t="s">
        <v>262</v>
      </c>
      <c r="C106" s="1" t="s">
        <v>1</v>
      </c>
      <c r="D106" s="9" t="s">
        <v>140</v>
      </c>
      <c r="E106" s="1" t="s">
        <v>1</v>
      </c>
      <c r="F106" s="36" t="s">
        <v>27</v>
      </c>
      <c r="G106" s="24"/>
      <c r="H106" s="1" t="s">
        <v>1</v>
      </c>
      <c r="I106" s="9" t="s">
        <v>28</v>
      </c>
      <c r="J106" s="1" t="s">
        <v>1</v>
      </c>
      <c r="K106" s="9" t="s">
        <v>1</v>
      </c>
      <c r="L106" s="1" t="s">
        <v>1</v>
      </c>
      <c r="M106" s="9" t="s">
        <v>30</v>
      </c>
      <c r="N106" s="1" t="s">
        <v>1</v>
      </c>
      <c r="O106" s="36" t="s">
        <v>31</v>
      </c>
      <c r="P106" s="24"/>
      <c r="Q106" s="1" t="s">
        <v>1</v>
      </c>
      <c r="R106" s="9" t="s">
        <v>199</v>
      </c>
      <c r="S106" s="1" t="s">
        <v>1</v>
      </c>
      <c r="T106" s="36" t="s">
        <v>1</v>
      </c>
      <c r="U106" s="24"/>
      <c r="X106">
        <f>VLOOKUP(A106,'Ark1'!A:C,1,FALSE)</f>
        <v>5612</v>
      </c>
      <c r="Y106" t="str">
        <f>VLOOKUP(A106,'Ark1'!A:B,2,FALSE)</f>
        <v>Personbilar försäkring &amp; skatt</v>
      </c>
    </row>
    <row r="107" spans="1:25" x14ac:dyDescent="0.25">
      <c r="A107" s="13">
        <v>5613</v>
      </c>
      <c r="B107" s="7" t="s">
        <v>263</v>
      </c>
      <c r="C107" s="1" t="s">
        <v>1</v>
      </c>
      <c r="D107" s="7" t="s">
        <v>140</v>
      </c>
      <c r="E107" s="1" t="s">
        <v>1</v>
      </c>
      <c r="F107" s="34" t="s">
        <v>27</v>
      </c>
      <c r="G107" s="24"/>
      <c r="H107" s="1" t="s">
        <v>1</v>
      </c>
      <c r="I107" s="7" t="s">
        <v>28</v>
      </c>
      <c r="J107" s="1" t="s">
        <v>1</v>
      </c>
      <c r="K107" s="7" t="s">
        <v>1</v>
      </c>
      <c r="L107" s="1" t="s">
        <v>1</v>
      </c>
      <c r="M107" s="7" t="s">
        <v>30</v>
      </c>
      <c r="N107" s="1" t="s">
        <v>1</v>
      </c>
      <c r="O107" s="34" t="s">
        <v>31</v>
      </c>
      <c r="P107" s="24"/>
      <c r="Q107" s="1" t="s">
        <v>1</v>
      </c>
      <c r="R107" s="7" t="s">
        <v>32</v>
      </c>
      <c r="S107" s="1" t="s">
        <v>1</v>
      </c>
      <c r="T107" s="34" t="s">
        <v>1</v>
      </c>
      <c r="U107" s="24"/>
      <c r="X107" t="e">
        <f>VLOOKUP(A107,'Ark1'!A:C,1,FALSE)</f>
        <v>#N/A</v>
      </c>
      <c r="Y107" t="e">
        <f>VLOOKUP(A107,'Ark1'!A:B,2,FALSE)</f>
        <v>#N/A</v>
      </c>
    </row>
    <row r="108" spans="1:25" x14ac:dyDescent="0.25">
      <c r="A108" s="11">
        <v>5699</v>
      </c>
      <c r="B108" s="8" t="s">
        <v>264</v>
      </c>
      <c r="C108" s="6" t="s">
        <v>1</v>
      </c>
      <c r="D108" s="8" t="s">
        <v>140</v>
      </c>
      <c r="E108" s="6" t="s">
        <v>1</v>
      </c>
      <c r="F108" s="35" t="s">
        <v>36</v>
      </c>
      <c r="G108" s="24"/>
      <c r="H108" s="1" t="s">
        <v>1</v>
      </c>
      <c r="I108" s="9" t="s">
        <v>1</v>
      </c>
      <c r="J108" s="6" t="s">
        <v>1</v>
      </c>
      <c r="K108" s="8" t="s">
        <v>265</v>
      </c>
      <c r="L108" s="6" t="s">
        <v>1</v>
      </c>
      <c r="M108" s="8" t="s">
        <v>19</v>
      </c>
      <c r="N108" s="6" t="s">
        <v>1</v>
      </c>
      <c r="O108" s="35" t="s">
        <v>1</v>
      </c>
      <c r="P108" s="24"/>
      <c r="Q108" s="6" t="s">
        <v>1</v>
      </c>
      <c r="R108" s="8" t="s">
        <v>1</v>
      </c>
      <c r="S108" s="1" t="s">
        <v>1</v>
      </c>
      <c r="T108" s="36" t="s">
        <v>20</v>
      </c>
      <c r="U108" s="24"/>
      <c r="X108" t="e">
        <f>VLOOKUP(A108,'Ark1'!A:C,1,FALSE)</f>
        <v>#N/A</v>
      </c>
      <c r="Y108" t="e">
        <f>VLOOKUP(A108,'Ark1'!A:B,2,FALSE)</f>
        <v>#N/A</v>
      </c>
    </row>
    <row r="109" spans="1:25" x14ac:dyDescent="0.25">
      <c r="A109" s="13">
        <v>5710</v>
      </c>
      <c r="B109" s="7" t="s">
        <v>266</v>
      </c>
      <c r="C109" s="1" t="s">
        <v>1</v>
      </c>
      <c r="D109" s="7" t="s">
        <v>140</v>
      </c>
      <c r="E109" s="1" t="s">
        <v>1</v>
      </c>
      <c r="F109" s="34" t="s">
        <v>27</v>
      </c>
      <c r="G109" s="24"/>
      <c r="H109" s="1" t="s">
        <v>1</v>
      </c>
      <c r="I109" s="7" t="s">
        <v>28</v>
      </c>
      <c r="J109" s="1" t="s">
        <v>1</v>
      </c>
      <c r="K109" s="7" t="s">
        <v>1</v>
      </c>
      <c r="L109" s="1" t="s">
        <v>1</v>
      </c>
      <c r="M109" s="7" t="s">
        <v>30</v>
      </c>
      <c r="N109" s="1" t="s">
        <v>1</v>
      </c>
      <c r="O109" s="34" t="s">
        <v>31</v>
      </c>
      <c r="P109" s="24"/>
      <c r="Q109" s="1" t="s">
        <v>1</v>
      </c>
      <c r="R109" s="7" t="s">
        <v>32</v>
      </c>
      <c r="S109" s="1" t="s">
        <v>1</v>
      </c>
      <c r="T109" s="34" t="s">
        <v>1</v>
      </c>
      <c r="U109" s="24"/>
      <c r="X109" t="e">
        <f>VLOOKUP(A109,'Ark1'!A:C,1,FALSE)</f>
        <v>#N/A</v>
      </c>
      <c r="Y109" t="e">
        <f>VLOOKUP(A109,'Ark1'!A:B,2,FALSE)</f>
        <v>#N/A</v>
      </c>
    </row>
    <row r="110" spans="1:25" x14ac:dyDescent="0.25">
      <c r="A110" s="12">
        <v>5810</v>
      </c>
      <c r="B110" s="9" t="s">
        <v>267</v>
      </c>
      <c r="C110" s="1" t="s">
        <v>1</v>
      </c>
      <c r="D110" s="9" t="s">
        <v>140</v>
      </c>
      <c r="E110" s="1" t="s">
        <v>1</v>
      </c>
      <c r="F110" s="36" t="s">
        <v>27</v>
      </c>
      <c r="G110" s="24"/>
      <c r="H110" s="1" t="s">
        <v>1</v>
      </c>
      <c r="I110" s="9" t="s">
        <v>28</v>
      </c>
      <c r="J110" s="1" t="s">
        <v>1</v>
      </c>
      <c r="K110" s="9" t="s">
        <v>1</v>
      </c>
      <c r="L110" s="1" t="s">
        <v>1</v>
      </c>
      <c r="M110" s="9" t="s">
        <v>30</v>
      </c>
      <c r="N110" s="1" t="s">
        <v>1</v>
      </c>
      <c r="O110" s="36" t="s">
        <v>31</v>
      </c>
      <c r="P110" s="24"/>
      <c r="Q110" s="1" t="s">
        <v>1</v>
      </c>
      <c r="R110" s="9" t="s">
        <v>199</v>
      </c>
      <c r="S110" s="1" t="s">
        <v>1</v>
      </c>
      <c r="T110" s="36" t="s">
        <v>1</v>
      </c>
      <c r="U110" s="24"/>
      <c r="X110" t="e">
        <f>VLOOKUP(A110,'Ark1'!A:C,1,FALSE)</f>
        <v>#N/A</v>
      </c>
      <c r="Y110" t="e">
        <f>VLOOKUP(A110,'Ark1'!A:B,2,FALSE)</f>
        <v>#N/A</v>
      </c>
    </row>
    <row r="111" spans="1:25" s="17" customFormat="1" x14ac:dyDescent="0.25">
      <c r="A111" s="14">
        <v>5900</v>
      </c>
      <c r="B111" s="15" t="s">
        <v>268</v>
      </c>
      <c r="C111" s="16" t="s">
        <v>1</v>
      </c>
      <c r="D111" s="15" t="s">
        <v>140</v>
      </c>
      <c r="E111" s="16" t="s">
        <v>1</v>
      </c>
      <c r="F111" s="37" t="s">
        <v>22</v>
      </c>
      <c r="G111" s="38"/>
      <c r="H111" s="18" t="s">
        <v>1</v>
      </c>
      <c r="I111" s="19" t="s">
        <v>1</v>
      </c>
      <c r="J111" s="16" t="s">
        <v>1</v>
      </c>
      <c r="K111" s="15" t="s">
        <v>1</v>
      </c>
      <c r="L111" s="16" t="s">
        <v>1</v>
      </c>
      <c r="M111" s="15" t="s">
        <v>19</v>
      </c>
      <c r="N111" s="16" t="s">
        <v>1</v>
      </c>
      <c r="O111" s="37" t="s">
        <v>1</v>
      </c>
      <c r="P111" s="38"/>
      <c r="Q111" s="16" t="s">
        <v>1</v>
      </c>
      <c r="R111" s="15" t="s">
        <v>1</v>
      </c>
      <c r="S111" s="18" t="s">
        <v>1</v>
      </c>
      <c r="T111" s="39" t="s">
        <v>20</v>
      </c>
      <c r="U111" s="38"/>
      <c r="X111" s="17">
        <f>VLOOKUP(A111,'Ark1'!A:C,1,FALSE)</f>
        <v>5900</v>
      </c>
      <c r="Y111" s="17" t="str">
        <f>VLOOKUP(A111,'Ark1'!A:B,2,FALSE)</f>
        <v>Markandsföring och PR</v>
      </c>
    </row>
    <row r="112" spans="1:25" x14ac:dyDescent="0.25">
      <c r="A112" s="12">
        <v>5910</v>
      </c>
      <c r="B112" s="9" t="s">
        <v>269</v>
      </c>
      <c r="C112" s="1" t="s">
        <v>1</v>
      </c>
      <c r="D112" s="9" t="s">
        <v>140</v>
      </c>
      <c r="E112" s="1" t="s">
        <v>1</v>
      </c>
      <c r="F112" s="36" t="s">
        <v>27</v>
      </c>
      <c r="G112" s="24"/>
      <c r="H112" s="1" t="s">
        <v>1</v>
      </c>
      <c r="I112" s="9" t="s">
        <v>28</v>
      </c>
      <c r="J112" s="1" t="s">
        <v>1</v>
      </c>
      <c r="K112" s="9" t="s">
        <v>1</v>
      </c>
      <c r="L112" s="1" t="s">
        <v>1</v>
      </c>
      <c r="M112" s="9" t="s">
        <v>30</v>
      </c>
      <c r="N112" s="1" t="s">
        <v>1</v>
      </c>
      <c r="O112" s="36" t="s">
        <v>31</v>
      </c>
      <c r="P112" s="24"/>
      <c r="Q112" s="1" t="s">
        <v>1</v>
      </c>
      <c r="R112" s="9" t="s">
        <v>32</v>
      </c>
      <c r="S112" s="1" t="s">
        <v>1</v>
      </c>
      <c r="T112" s="36" t="s">
        <v>1</v>
      </c>
      <c r="U112" s="24"/>
      <c r="X112" t="e">
        <f>VLOOKUP(A112,'Ark1'!A:C,1,FALSE)</f>
        <v>#N/A</v>
      </c>
      <c r="Y112" t="e">
        <f>VLOOKUP(A112,'Ark1'!A:B,2,FALSE)</f>
        <v>#N/A</v>
      </c>
    </row>
    <row r="113" spans="1:25" x14ac:dyDescent="0.25">
      <c r="A113" s="13">
        <v>5970</v>
      </c>
      <c r="B113" s="7" t="s">
        <v>270</v>
      </c>
      <c r="C113" s="1" t="s">
        <v>1</v>
      </c>
      <c r="D113" s="7" t="s">
        <v>140</v>
      </c>
      <c r="E113" s="1" t="s">
        <v>1</v>
      </c>
      <c r="F113" s="34" t="s">
        <v>27</v>
      </c>
      <c r="G113" s="24"/>
      <c r="H113" s="1" t="s">
        <v>1</v>
      </c>
      <c r="I113" s="7" t="s">
        <v>28</v>
      </c>
      <c r="J113" s="1" t="s">
        <v>1</v>
      </c>
      <c r="K113" s="7" t="s">
        <v>1</v>
      </c>
      <c r="L113" s="1" t="s">
        <v>1</v>
      </c>
      <c r="M113" s="7" t="s">
        <v>30</v>
      </c>
      <c r="N113" s="1" t="s">
        <v>1</v>
      </c>
      <c r="O113" s="34" t="s">
        <v>31</v>
      </c>
      <c r="P113" s="24"/>
      <c r="Q113" s="1" t="s">
        <v>1</v>
      </c>
      <c r="R113" s="7" t="s">
        <v>32</v>
      </c>
      <c r="S113" s="1" t="s">
        <v>1</v>
      </c>
      <c r="T113" s="34" t="s">
        <v>1</v>
      </c>
      <c r="U113" s="24"/>
      <c r="X113" t="e">
        <f>VLOOKUP(A113,'Ark1'!A:C,1,FALSE)</f>
        <v>#N/A</v>
      </c>
      <c r="Y113" t="e">
        <f>VLOOKUP(A113,'Ark1'!A:B,2,FALSE)</f>
        <v>#N/A</v>
      </c>
    </row>
    <row r="114" spans="1:25" x14ac:dyDescent="0.25">
      <c r="A114" s="11">
        <v>5999</v>
      </c>
      <c r="B114" s="8" t="s">
        <v>271</v>
      </c>
      <c r="C114" s="6" t="s">
        <v>1</v>
      </c>
      <c r="D114" s="8" t="s">
        <v>140</v>
      </c>
      <c r="E114" s="6" t="s">
        <v>1</v>
      </c>
      <c r="F114" s="35" t="s">
        <v>36</v>
      </c>
      <c r="G114" s="24"/>
      <c r="H114" s="1" t="s">
        <v>1</v>
      </c>
      <c r="I114" s="9" t="s">
        <v>1</v>
      </c>
      <c r="J114" s="6" t="s">
        <v>1</v>
      </c>
      <c r="K114" s="8" t="s">
        <v>272</v>
      </c>
      <c r="L114" s="6" t="s">
        <v>1</v>
      </c>
      <c r="M114" s="8" t="s">
        <v>19</v>
      </c>
      <c r="N114" s="6" t="s">
        <v>1</v>
      </c>
      <c r="O114" s="35" t="s">
        <v>1</v>
      </c>
      <c r="P114" s="24"/>
      <c r="Q114" s="6" t="s">
        <v>1</v>
      </c>
      <c r="R114" s="8" t="s">
        <v>1</v>
      </c>
      <c r="S114" s="1" t="s">
        <v>1</v>
      </c>
      <c r="T114" s="36" t="s">
        <v>20</v>
      </c>
      <c r="U114" s="24"/>
      <c r="X114" t="e">
        <f>VLOOKUP(A114,'Ark1'!A:C,1,FALSE)</f>
        <v>#N/A</v>
      </c>
      <c r="Y114" t="e">
        <f>VLOOKUP(A114,'Ark1'!A:B,2,FALSE)</f>
        <v>#N/A</v>
      </c>
    </row>
    <row r="115" spans="1:25" ht="21" x14ac:dyDescent="0.25">
      <c r="A115" s="13">
        <v>60410</v>
      </c>
      <c r="B115" s="7" t="s">
        <v>273</v>
      </c>
      <c r="C115" s="1" t="s">
        <v>1</v>
      </c>
      <c r="D115" s="7" t="s">
        <v>140</v>
      </c>
      <c r="E115" s="1" t="s">
        <v>1</v>
      </c>
      <c r="F115" s="34" t="s">
        <v>27</v>
      </c>
      <c r="G115" s="24"/>
      <c r="H115" s="1" t="s">
        <v>1</v>
      </c>
      <c r="I115" s="7" t="s">
        <v>28</v>
      </c>
      <c r="J115" s="1" t="s">
        <v>1</v>
      </c>
      <c r="K115" s="7" t="s">
        <v>1</v>
      </c>
      <c r="L115" s="1" t="s">
        <v>1</v>
      </c>
      <c r="M115" s="7" t="s">
        <v>19</v>
      </c>
      <c r="N115" s="1" t="s">
        <v>1</v>
      </c>
      <c r="O115" s="34" t="s">
        <v>31</v>
      </c>
      <c r="P115" s="24"/>
      <c r="Q115" s="1" t="s">
        <v>1</v>
      </c>
      <c r="R115" s="7" t="s">
        <v>163</v>
      </c>
      <c r="S115" s="1" t="s">
        <v>1</v>
      </c>
      <c r="T115" s="34" t="s">
        <v>1</v>
      </c>
      <c r="U115" s="24"/>
      <c r="X115" t="e">
        <f>VLOOKUP(A115,'Ark1'!A:C,1,FALSE)</f>
        <v>#N/A</v>
      </c>
      <c r="Y115" t="e">
        <f>VLOOKUP(A115,'Ark1'!A:B,2,FALSE)</f>
        <v>#N/A</v>
      </c>
    </row>
    <row r="116" spans="1:25" x14ac:dyDescent="0.25">
      <c r="A116" s="11">
        <v>6200</v>
      </c>
      <c r="B116" s="8" t="s">
        <v>274</v>
      </c>
      <c r="C116" s="6" t="s">
        <v>1</v>
      </c>
      <c r="D116" s="8" t="s">
        <v>140</v>
      </c>
      <c r="E116" s="6" t="s">
        <v>1</v>
      </c>
      <c r="F116" s="35" t="s">
        <v>22</v>
      </c>
      <c r="G116" s="24"/>
      <c r="H116" s="1" t="s">
        <v>1</v>
      </c>
      <c r="I116" s="9" t="s">
        <v>1</v>
      </c>
      <c r="J116" s="6" t="s">
        <v>1</v>
      </c>
      <c r="K116" s="8" t="s">
        <v>1</v>
      </c>
      <c r="L116" s="6" t="s">
        <v>1</v>
      </c>
      <c r="M116" s="8" t="s">
        <v>19</v>
      </c>
      <c r="N116" s="6" t="s">
        <v>1</v>
      </c>
      <c r="O116" s="35" t="s">
        <v>1</v>
      </c>
      <c r="P116" s="24"/>
      <c r="Q116" s="6" t="s">
        <v>1</v>
      </c>
      <c r="R116" s="8" t="s">
        <v>1</v>
      </c>
      <c r="S116" s="1" t="s">
        <v>1</v>
      </c>
      <c r="T116" s="36" t="s">
        <v>20</v>
      </c>
      <c r="U116" s="24"/>
      <c r="X116" t="e">
        <f>VLOOKUP(A116,'Ark1'!A:C,1,FALSE)</f>
        <v>#N/A</v>
      </c>
      <c r="Y116" t="e">
        <f>VLOOKUP(A116,'Ark1'!A:B,2,FALSE)</f>
        <v>#N/A</v>
      </c>
    </row>
    <row r="117" spans="1:25" x14ac:dyDescent="0.25">
      <c r="A117" s="13">
        <v>6210</v>
      </c>
      <c r="B117" s="7" t="s">
        <v>275</v>
      </c>
      <c r="C117" s="1" t="s">
        <v>1</v>
      </c>
      <c r="D117" s="7" t="s">
        <v>140</v>
      </c>
      <c r="E117" s="1" t="s">
        <v>1</v>
      </c>
      <c r="F117" s="34" t="s">
        <v>27</v>
      </c>
      <c r="G117" s="24"/>
      <c r="H117" s="1" t="s">
        <v>1</v>
      </c>
      <c r="I117" s="7" t="s">
        <v>28</v>
      </c>
      <c r="J117" s="1" t="s">
        <v>1</v>
      </c>
      <c r="K117" s="7" t="s">
        <v>1</v>
      </c>
      <c r="L117" s="1" t="s">
        <v>1</v>
      </c>
      <c r="M117" s="7" t="s">
        <v>30</v>
      </c>
      <c r="N117" s="1" t="s">
        <v>1</v>
      </c>
      <c r="O117" s="34" t="s">
        <v>31</v>
      </c>
      <c r="P117" s="24"/>
      <c r="Q117" s="1" t="s">
        <v>1</v>
      </c>
      <c r="R117" s="7" t="s">
        <v>32</v>
      </c>
      <c r="S117" s="1" t="s">
        <v>1</v>
      </c>
      <c r="T117" s="34" t="s">
        <v>1</v>
      </c>
      <c r="U117" s="24"/>
      <c r="X117" t="e">
        <f>VLOOKUP(A117,'Ark1'!A:C,1,FALSE)</f>
        <v>#N/A</v>
      </c>
      <c r="Y117" t="e">
        <f>VLOOKUP(A117,'Ark1'!A:B,2,FALSE)</f>
        <v>#N/A</v>
      </c>
    </row>
    <row r="118" spans="1:25" x14ac:dyDescent="0.25">
      <c r="A118" s="12">
        <v>6220</v>
      </c>
      <c r="B118" s="9" t="s">
        <v>276</v>
      </c>
      <c r="C118" s="1" t="s">
        <v>1</v>
      </c>
      <c r="D118" s="9" t="s">
        <v>140</v>
      </c>
      <c r="E118" s="1" t="s">
        <v>1</v>
      </c>
      <c r="F118" s="36" t="s">
        <v>27</v>
      </c>
      <c r="G118" s="24"/>
      <c r="H118" s="1" t="s">
        <v>1</v>
      </c>
      <c r="I118" s="9" t="s">
        <v>28</v>
      </c>
      <c r="J118" s="1" t="s">
        <v>1</v>
      </c>
      <c r="K118" s="9" t="s">
        <v>1</v>
      </c>
      <c r="L118" s="1" t="s">
        <v>1</v>
      </c>
      <c r="M118" s="9" t="s">
        <v>30</v>
      </c>
      <c r="N118" s="1" t="s">
        <v>1</v>
      </c>
      <c r="O118" s="36" t="s">
        <v>31</v>
      </c>
      <c r="P118" s="24"/>
      <c r="Q118" s="1" t="s">
        <v>1</v>
      </c>
      <c r="R118" s="9" t="s">
        <v>199</v>
      </c>
      <c r="S118" s="1" t="s">
        <v>1</v>
      </c>
      <c r="T118" s="36" t="s">
        <v>1</v>
      </c>
      <c r="U118" s="24"/>
      <c r="X118" t="e">
        <f>VLOOKUP(A118,'Ark1'!A:C,1,FALSE)</f>
        <v>#N/A</v>
      </c>
      <c r="Y118" t="e">
        <f>VLOOKUP(A118,'Ark1'!A:B,2,FALSE)</f>
        <v>#N/A</v>
      </c>
    </row>
    <row r="119" spans="1:25" x14ac:dyDescent="0.25">
      <c r="A119" s="13">
        <v>6230</v>
      </c>
      <c r="B119" s="7" t="s">
        <v>277</v>
      </c>
      <c r="C119" s="1" t="s">
        <v>1</v>
      </c>
      <c r="D119" s="7" t="s">
        <v>140</v>
      </c>
      <c r="E119" s="1" t="s">
        <v>1</v>
      </c>
      <c r="F119" s="34" t="s">
        <v>27</v>
      </c>
      <c r="G119" s="24"/>
      <c r="H119" s="1" t="s">
        <v>1</v>
      </c>
      <c r="I119" s="7" t="s">
        <v>28</v>
      </c>
      <c r="J119" s="1" t="s">
        <v>1</v>
      </c>
      <c r="K119" s="7" t="s">
        <v>1</v>
      </c>
      <c r="L119" s="1" t="s">
        <v>1</v>
      </c>
      <c r="M119" s="7" t="s">
        <v>30</v>
      </c>
      <c r="N119" s="1" t="s">
        <v>1</v>
      </c>
      <c r="O119" s="34" t="s">
        <v>31</v>
      </c>
      <c r="P119" s="24"/>
      <c r="Q119" s="1" t="s">
        <v>1</v>
      </c>
      <c r="R119" s="7" t="s">
        <v>32</v>
      </c>
      <c r="S119" s="1" t="s">
        <v>1</v>
      </c>
      <c r="T119" s="34" t="s">
        <v>1</v>
      </c>
      <c r="U119" s="24"/>
      <c r="X119" t="e">
        <f>VLOOKUP(A119,'Ark1'!A:C,1,FALSE)</f>
        <v>#N/A</v>
      </c>
      <c r="Y119" t="e">
        <f>VLOOKUP(A119,'Ark1'!A:B,2,FALSE)</f>
        <v>#N/A</v>
      </c>
    </row>
    <row r="120" spans="1:25" x14ac:dyDescent="0.25">
      <c r="A120" s="11">
        <v>6299</v>
      </c>
      <c r="B120" s="8" t="s">
        <v>278</v>
      </c>
      <c r="C120" s="6" t="s">
        <v>1</v>
      </c>
      <c r="D120" s="8" t="s">
        <v>140</v>
      </c>
      <c r="E120" s="6" t="s">
        <v>1</v>
      </c>
      <c r="F120" s="35" t="s">
        <v>36</v>
      </c>
      <c r="G120" s="24"/>
      <c r="H120" s="1" t="s">
        <v>1</v>
      </c>
      <c r="I120" s="9" t="s">
        <v>1</v>
      </c>
      <c r="J120" s="6" t="s">
        <v>1</v>
      </c>
      <c r="K120" s="8" t="s">
        <v>279</v>
      </c>
      <c r="L120" s="6" t="s">
        <v>1</v>
      </c>
      <c r="M120" s="8" t="s">
        <v>19</v>
      </c>
      <c r="N120" s="6" t="s">
        <v>1</v>
      </c>
      <c r="O120" s="35" t="s">
        <v>1</v>
      </c>
      <c r="P120" s="24"/>
      <c r="Q120" s="6" t="s">
        <v>1</v>
      </c>
      <c r="R120" s="8" t="s">
        <v>1</v>
      </c>
      <c r="S120" s="1" t="s">
        <v>1</v>
      </c>
      <c r="T120" s="36" t="s">
        <v>20</v>
      </c>
      <c r="U120" s="24"/>
      <c r="X120" t="e">
        <f>VLOOKUP(A120,'Ark1'!A:C,1,FALSE)</f>
        <v>#N/A</v>
      </c>
      <c r="Y120" t="e">
        <f>VLOOKUP(A120,'Ark1'!A:B,2,FALSE)</f>
        <v>#N/A</v>
      </c>
    </row>
    <row r="121" spans="1:25" x14ac:dyDescent="0.25">
      <c r="A121" s="13">
        <v>6351</v>
      </c>
      <c r="B121" s="7" t="s">
        <v>280</v>
      </c>
      <c r="C121" s="1" t="s">
        <v>1</v>
      </c>
      <c r="D121" s="7" t="s">
        <v>140</v>
      </c>
      <c r="E121" s="1" t="s">
        <v>1</v>
      </c>
      <c r="F121" s="34" t="s">
        <v>27</v>
      </c>
      <c r="G121" s="24"/>
      <c r="H121" s="1" t="s">
        <v>1</v>
      </c>
      <c r="I121" s="7" t="s">
        <v>28</v>
      </c>
      <c r="J121" s="1" t="s">
        <v>1</v>
      </c>
      <c r="K121" s="7" t="s">
        <v>1</v>
      </c>
      <c r="L121" s="1" t="s">
        <v>1</v>
      </c>
      <c r="M121" s="7" t="s">
        <v>19</v>
      </c>
      <c r="N121" s="1" t="s">
        <v>1</v>
      </c>
      <c r="O121" s="34" t="s">
        <v>1</v>
      </c>
      <c r="P121" s="24"/>
      <c r="Q121" s="1" t="s">
        <v>1</v>
      </c>
      <c r="R121" s="7" t="s">
        <v>1</v>
      </c>
      <c r="S121" s="1" t="s">
        <v>1</v>
      </c>
      <c r="T121" s="34" t="s">
        <v>1</v>
      </c>
      <c r="U121" s="24"/>
      <c r="X121" t="e">
        <f>VLOOKUP(A121,'Ark1'!A:C,1,FALSE)</f>
        <v>#N/A</v>
      </c>
      <c r="Y121" t="e">
        <f>VLOOKUP(A121,'Ark1'!A:B,2,FALSE)</f>
        <v>#N/A</v>
      </c>
    </row>
    <row r="122" spans="1:25" x14ac:dyDescent="0.25">
      <c r="A122" s="12">
        <v>6352</v>
      </c>
      <c r="B122" s="9" t="s">
        <v>281</v>
      </c>
      <c r="C122" s="1" t="s">
        <v>1</v>
      </c>
      <c r="D122" s="9" t="s">
        <v>140</v>
      </c>
      <c r="E122" s="1" t="s">
        <v>1</v>
      </c>
      <c r="F122" s="36" t="s">
        <v>27</v>
      </c>
      <c r="G122" s="24"/>
      <c r="H122" s="1" t="s">
        <v>1</v>
      </c>
      <c r="I122" s="9" t="s">
        <v>28</v>
      </c>
      <c r="J122" s="1" t="s">
        <v>1</v>
      </c>
      <c r="K122" s="9" t="s">
        <v>1</v>
      </c>
      <c r="L122" s="1" t="s">
        <v>1</v>
      </c>
      <c r="M122" s="9" t="s">
        <v>19</v>
      </c>
      <c r="N122" s="1" t="s">
        <v>1</v>
      </c>
      <c r="O122" s="36" t="s">
        <v>1</v>
      </c>
      <c r="P122" s="24"/>
      <c r="Q122" s="1" t="s">
        <v>1</v>
      </c>
      <c r="R122" s="9" t="s">
        <v>1</v>
      </c>
      <c r="S122" s="1" t="s">
        <v>1</v>
      </c>
      <c r="T122" s="36" t="s">
        <v>1</v>
      </c>
      <c r="U122" s="24"/>
      <c r="X122" t="e">
        <f>VLOOKUP(A122,'Ark1'!A:C,1,FALSE)</f>
        <v>#N/A</v>
      </c>
      <c r="Y122" t="e">
        <f>VLOOKUP(A122,'Ark1'!A:B,2,FALSE)</f>
        <v>#N/A</v>
      </c>
    </row>
    <row r="123" spans="1:25" x14ac:dyDescent="0.25">
      <c r="A123" s="13">
        <v>6420</v>
      </c>
      <c r="B123" s="7" t="s">
        <v>282</v>
      </c>
      <c r="C123" s="1" t="s">
        <v>1</v>
      </c>
      <c r="D123" s="7" t="s">
        <v>140</v>
      </c>
      <c r="E123" s="1" t="s">
        <v>1</v>
      </c>
      <c r="F123" s="34" t="s">
        <v>27</v>
      </c>
      <c r="G123" s="24"/>
      <c r="H123" s="1" t="s">
        <v>1</v>
      </c>
      <c r="I123" s="7" t="s">
        <v>28</v>
      </c>
      <c r="J123" s="1" t="s">
        <v>1</v>
      </c>
      <c r="K123" s="7" t="s">
        <v>1</v>
      </c>
      <c r="L123" s="1" t="s">
        <v>1</v>
      </c>
      <c r="M123" s="7" t="s">
        <v>30</v>
      </c>
      <c r="N123" s="1" t="s">
        <v>1</v>
      </c>
      <c r="O123" s="34" t="s">
        <v>31</v>
      </c>
      <c r="P123" s="24"/>
      <c r="Q123" s="1" t="s">
        <v>1</v>
      </c>
      <c r="R123" s="7" t="s">
        <v>32</v>
      </c>
      <c r="S123" s="1" t="s">
        <v>1</v>
      </c>
      <c r="T123" s="34" t="s">
        <v>1</v>
      </c>
      <c r="U123" s="24"/>
      <c r="X123">
        <f>VLOOKUP(A123,'Ark1'!A:C,1,FALSE)</f>
        <v>6420</v>
      </c>
      <c r="Y123" t="str">
        <f>VLOOKUP(A123,'Ark1'!A:B,2,FALSE)</f>
        <v>Revisionskostnader</v>
      </c>
    </row>
    <row r="124" spans="1:25" x14ac:dyDescent="0.25">
      <c r="A124" s="12">
        <v>6450</v>
      </c>
      <c r="B124" s="9" t="s">
        <v>283</v>
      </c>
      <c r="C124" s="1" t="s">
        <v>1</v>
      </c>
      <c r="D124" s="9" t="s">
        <v>140</v>
      </c>
      <c r="E124" s="1" t="s">
        <v>1</v>
      </c>
      <c r="F124" s="36" t="s">
        <v>27</v>
      </c>
      <c r="G124" s="24"/>
      <c r="H124" s="1" t="s">
        <v>1</v>
      </c>
      <c r="I124" s="9" t="s">
        <v>28</v>
      </c>
      <c r="J124" s="1" t="s">
        <v>1</v>
      </c>
      <c r="K124" s="9" t="s">
        <v>1</v>
      </c>
      <c r="L124" s="1" t="s">
        <v>1</v>
      </c>
      <c r="M124" s="9" t="s">
        <v>30</v>
      </c>
      <c r="N124" s="1" t="s">
        <v>1</v>
      </c>
      <c r="O124" s="36" t="s">
        <v>31</v>
      </c>
      <c r="P124" s="24"/>
      <c r="Q124" s="1" t="s">
        <v>1</v>
      </c>
      <c r="R124" s="9" t="s">
        <v>32</v>
      </c>
      <c r="S124" s="1" t="s">
        <v>1</v>
      </c>
      <c r="T124" s="36" t="s">
        <v>1</v>
      </c>
      <c r="U124" s="24"/>
      <c r="X124" t="e">
        <f>VLOOKUP(A124,'Ark1'!A:C,1,FALSE)</f>
        <v>#N/A</v>
      </c>
      <c r="Y124" t="e">
        <f>VLOOKUP(A124,'Ark1'!A:B,2,FALSE)</f>
        <v>#N/A</v>
      </c>
    </row>
    <row r="125" spans="1:25" x14ac:dyDescent="0.25">
      <c r="A125" s="10">
        <v>6500</v>
      </c>
      <c r="B125" s="5" t="s">
        <v>284</v>
      </c>
      <c r="C125" s="6" t="s">
        <v>1</v>
      </c>
      <c r="D125" s="5" t="s">
        <v>140</v>
      </c>
      <c r="E125" s="6" t="s">
        <v>1</v>
      </c>
      <c r="F125" s="33" t="s">
        <v>22</v>
      </c>
      <c r="G125" s="24"/>
      <c r="H125" s="1" t="s">
        <v>1</v>
      </c>
      <c r="I125" s="7" t="s">
        <v>1</v>
      </c>
      <c r="J125" s="6" t="s">
        <v>1</v>
      </c>
      <c r="K125" s="5" t="s">
        <v>1</v>
      </c>
      <c r="L125" s="6" t="s">
        <v>1</v>
      </c>
      <c r="M125" s="5" t="s">
        <v>19</v>
      </c>
      <c r="N125" s="6" t="s">
        <v>1</v>
      </c>
      <c r="O125" s="33" t="s">
        <v>1</v>
      </c>
      <c r="P125" s="24"/>
      <c r="Q125" s="6" t="s">
        <v>1</v>
      </c>
      <c r="R125" s="5" t="s">
        <v>1</v>
      </c>
      <c r="S125" s="1" t="s">
        <v>1</v>
      </c>
      <c r="T125" s="34" t="s">
        <v>20</v>
      </c>
      <c r="U125" s="24"/>
      <c r="X125" t="e">
        <f>VLOOKUP(A125,'Ark1'!A:C,1,FALSE)</f>
        <v>#N/A</v>
      </c>
      <c r="Y125" t="e">
        <f>VLOOKUP(A125,'Ark1'!A:B,2,FALSE)</f>
        <v>#N/A</v>
      </c>
    </row>
    <row r="126" spans="1:25" x14ac:dyDescent="0.25">
      <c r="A126" s="12">
        <v>6540</v>
      </c>
      <c r="B126" s="9" t="s">
        <v>285</v>
      </c>
      <c r="C126" s="1" t="s">
        <v>1</v>
      </c>
      <c r="D126" s="9" t="s">
        <v>140</v>
      </c>
      <c r="E126" s="1" t="s">
        <v>1</v>
      </c>
      <c r="F126" s="36" t="s">
        <v>27</v>
      </c>
      <c r="G126" s="24"/>
      <c r="H126" s="1" t="s">
        <v>1</v>
      </c>
      <c r="I126" s="9" t="s">
        <v>28</v>
      </c>
      <c r="J126" s="1" t="s">
        <v>1</v>
      </c>
      <c r="K126" s="9" t="s">
        <v>1</v>
      </c>
      <c r="L126" s="1" t="s">
        <v>1</v>
      </c>
      <c r="M126" s="9" t="s">
        <v>30</v>
      </c>
      <c r="N126" s="1" t="s">
        <v>1</v>
      </c>
      <c r="O126" s="36" t="s">
        <v>31</v>
      </c>
      <c r="P126" s="24"/>
      <c r="Q126" s="1" t="s">
        <v>1</v>
      </c>
      <c r="R126" s="9" t="s">
        <v>32</v>
      </c>
      <c r="S126" s="1" t="s">
        <v>1</v>
      </c>
      <c r="T126" s="36" t="s">
        <v>1</v>
      </c>
      <c r="U126" s="24"/>
      <c r="X126" t="e">
        <f>VLOOKUP(A126,'Ark1'!A:C,1,FALSE)</f>
        <v>#N/A</v>
      </c>
      <c r="Y126" t="e">
        <f>VLOOKUP(A126,'Ark1'!A:B,2,FALSE)</f>
        <v>#N/A</v>
      </c>
    </row>
    <row r="127" spans="1:25" x14ac:dyDescent="0.25">
      <c r="A127" s="13">
        <v>6550</v>
      </c>
      <c r="B127" s="7" t="s">
        <v>286</v>
      </c>
      <c r="C127" s="1" t="s">
        <v>1</v>
      </c>
      <c r="D127" s="7" t="s">
        <v>140</v>
      </c>
      <c r="E127" s="1" t="s">
        <v>1</v>
      </c>
      <c r="F127" s="34" t="s">
        <v>27</v>
      </c>
      <c r="G127" s="24"/>
      <c r="H127" s="1" t="s">
        <v>1</v>
      </c>
      <c r="I127" s="7" t="s">
        <v>28</v>
      </c>
      <c r="J127" s="1" t="s">
        <v>1</v>
      </c>
      <c r="K127" s="7" t="s">
        <v>1</v>
      </c>
      <c r="L127" s="1" t="s">
        <v>1</v>
      </c>
      <c r="M127" s="7" t="s">
        <v>30</v>
      </c>
      <c r="N127" s="1" t="s">
        <v>1</v>
      </c>
      <c r="O127" s="34" t="s">
        <v>31</v>
      </c>
      <c r="P127" s="24"/>
      <c r="Q127" s="1" t="s">
        <v>1</v>
      </c>
      <c r="R127" s="7" t="s">
        <v>181</v>
      </c>
      <c r="S127" s="1" t="s">
        <v>1</v>
      </c>
      <c r="T127" s="34" t="s">
        <v>1</v>
      </c>
      <c r="U127" s="24"/>
      <c r="X127" t="e">
        <f>VLOOKUP(A127,'Ark1'!A:C,1,FALSE)</f>
        <v>#N/A</v>
      </c>
      <c r="Y127" t="e">
        <f>VLOOKUP(A127,'Ark1'!A:B,2,FALSE)</f>
        <v>#N/A</v>
      </c>
    </row>
    <row r="128" spans="1:25" x14ac:dyDescent="0.25">
      <c r="A128" s="12">
        <v>6560</v>
      </c>
      <c r="B128" s="9" t="s">
        <v>287</v>
      </c>
      <c r="C128" s="1" t="s">
        <v>1</v>
      </c>
      <c r="D128" s="9" t="s">
        <v>140</v>
      </c>
      <c r="E128" s="1" t="s">
        <v>1</v>
      </c>
      <c r="F128" s="36" t="s">
        <v>27</v>
      </c>
      <c r="G128" s="24"/>
      <c r="H128" s="1" t="s">
        <v>1</v>
      </c>
      <c r="I128" s="9" t="s">
        <v>28</v>
      </c>
      <c r="J128" s="1" t="s">
        <v>1</v>
      </c>
      <c r="K128" s="9" t="s">
        <v>1</v>
      </c>
      <c r="L128" s="1" t="s">
        <v>1</v>
      </c>
      <c r="M128" s="9" t="s">
        <v>30</v>
      </c>
      <c r="N128" s="1" t="s">
        <v>1</v>
      </c>
      <c r="O128" s="36" t="s">
        <v>31</v>
      </c>
      <c r="P128" s="24"/>
      <c r="Q128" s="1" t="s">
        <v>1</v>
      </c>
      <c r="R128" s="9" t="s">
        <v>32</v>
      </c>
      <c r="S128" s="1" t="s">
        <v>1</v>
      </c>
      <c r="T128" s="36" t="s">
        <v>1</v>
      </c>
      <c r="U128" s="24"/>
      <c r="X128" t="e">
        <f>VLOOKUP(A128,'Ark1'!A:C,1,FALSE)</f>
        <v>#N/A</v>
      </c>
      <c r="Y128" t="e">
        <f>VLOOKUP(A128,'Ark1'!A:B,2,FALSE)</f>
        <v>#N/A</v>
      </c>
    </row>
    <row r="129" spans="1:25" x14ac:dyDescent="0.25">
      <c r="A129" s="10">
        <v>6599</v>
      </c>
      <c r="B129" s="5" t="s">
        <v>288</v>
      </c>
      <c r="C129" s="6" t="s">
        <v>1</v>
      </c>
      <c r="D129" s="5" t="s">
        <v>140</v>
      </c>
      <c r="E129" s="6" t="s">
        <v>1</v>
      </c>
      <c r="F129" s="33" t="s">
        <v>36</v>
      </c>
      <c r="G129" s="24"/>
      <c r="H129" s="1" t="s">
        <v>1</v>
      </c>
      <c r="I129" s="7" t="s">
        <v>1</v>
      </c>
      <c r="J129" s="6" t="s">
        <v>1</v>
      </c>
      <c r="K129" s="5" t="s">
        <v>289</v>
      </c>
      <c r="L129" s="6" t="s">
        <v>1</v>
      </c>
      <c r="M129" s="5" t="s">
        <v>19</v>
      </c>
      <c r="N129" s="6" t="s">
        <v>1</v>
      </c>
      <c r="O129" s="33" t="s">
        <v>1</v>
      </c>
      <c r="P129" s="24"/>
      <c r="Q129" s="6" t="s">
        <v>1</v>
      </c>
      <c r="R129" s="5" t="s">
        <v>1</v>
      </c>
      <c r="S129" s="1" t="s">
        <v>1</v>
      </c>
      <c r="T129" s="34" t="s">
        <v>20</v>
      </c>
      <c r="U129" s="24"/>
      <c r="X129" t="e">
        <f>VLOOKUP(A129,'Ark1'!A:C,1,FALSE)</f>
        <v>#N/A</v>
      </c>
      <c r="Y129" t="e">
        <f>VLOOKUP(A129,'Ark1'!A:B,2,FALSE)</f>
        <v>#N/A</v>
      </c>
    </row>
    <row r="130" spans="1:25" x14ac:dyDescent="0.25">
      <c r="A130" s="11">
        <v>7000</v>
      </c>
      <c r="B130" s="8" t="s">
        <v>290</v>
      </c>
      <c r="C130" s="6" t="s">
        <v>1</v>
      </c>
      <c r="D130" s="8" t="s">
        <v>140</v>
      </c>
      <c r="E130" s="6" t="s">
        <v>1</v>
      </c>
      <c r="F130" s="35" t="s">
        <v>22</v>
      </c>
      <c r="G130" s="24"/>
      <c r="H130" s="1" t="s">
        <v>1</v>
      </c>
      <c r="I130" s="9" t="s">
        <v>1</v>
      </c>
      <c r="J130" s="6" t="s">
        <v>1</v>
      </c>
      <c r="K130" s="8" t="s">
        <v>1</v>
      </c>
      <c r="L130" s="6" t="s">
        <v>1</v>
      </c>
      <c r="M130" s="8" t="s">
        <v>19</v>
      </c>
      <c r="N130" s="6" t="s">
        <v>1</v>
      </c>
      <c r="O130" s="35" t="s">
        <v>1</v>
      </c>
      <c r="P130" s="24"/>
      <c r="Q130" s="6" t="s">
        <v>1</v>
      </c>
      <c r="R130" s="8" t="s">
        <v>1</v>
      </c>
      <c r="S130" s="1" t="s">
        <v>1</v>
      </c>
      <c r="T130" s="36" t="s">
        <v>20</v>
      </c>
      <c r="U130" s="24"/>
      <c r="X130" t="e">
        <f>VLOOKUP(A130,'Ark1'!A:C,1,FALSE)</f>
        <v>#N/A</v>
      </c>
      <c r="Y130" t="e">
        <f>VLOOKUP(A130,'Ark1'!A:B,2,FALSE)</f>
        <v>#N/A</v>
      </c>
    </row>
    <row r="131" spans="1:25" x14ac:dyDescent="0.25">
      <c r="A131" s="13">
        <v>7010</v>
      </c>
      <c r="B131" s="7" t="s">
        <v>291</v>
      </c>
      <c r="C131" s="1" t="s">
        <v>1</v>
      </c>
      <c r="D131" s="7" t="s">
        <v>140</v>
      </c>
      <c r="E131" s="1" t="s">
        <v>1</v>
      </c>
      <c r="F131" s="34" t="s">
        <v>27</v>
      </c>
      <c r="G131" s="24"/>
      <c r="H131" s="1" t="s">
        <v>1</v>
      </c>
      <c r="I131" s="7" t="s">
        <v>28</v>
      </c>
      <c r="J131" s="1" t="s">
        <v>1</v>
      </c>
      <c r="K131" s="7" t="s">
        <v>1</v>
      </c>
      <c r="L131" s="1" t="s">
        <v>1</v>
      </c>
      <c r="M131" s="7" t="s">
        <v>19</v>
      </c>
      <c r="N131" s="1" t="s">
        <v>1</v>
      </c>
      <c r="O131" s="34" t="s">
        <v>1</v>
      </c>
      <c r="P131" s="24"/>
      <c r="Q131" s="1" t="s">
        <v>1</v>
      </c>
      <c r="R131" s="7" t="s">
        <v>1</v>
      </c>
      <c r="S131" s="1" t="s">
        <v>1</v>
      </c>
      <c r="T131" s="34" t="s">
        <v>1</v>
      </c>
      <c r="U131" s="24"/>
      <c r="X131">
        <f>VLOOKUP(A131,'Ark1'!A:C,1,FALSE)</f>
        <v>7010</v>
      </c>
      <c r="Y131" t="str">
        <f>VLOOKUP(A131,'Ark1'!A:B,2,FALSE)</f>
        <v>Löner kollektiv</v>
      </c>
    </row>
    <row r="132" spans="1:25" x14ac:dyDescent="0.25">
      <c r="A132" s="12">
        <v>7100</v>
      </c>
      <c r="B132" s="9" t="s">
        <v>292</v>
      </c>
      <c r="C132" s="1" t="s">
        <v>1</v>
      </c>
      <c r="D132" s="9" t="s">
        <v>140</v>
      </c>
      <c r="E132" s="1" t="s">
        <v>1</v>
      </c>
      <c r="F132" s="36" t="s">
        <v>27</v>
      </c>
      <c r="G132" s="24"/>
      <c r="H132" s="1" t="s">
        <v>1</v>
      </c>
      <c r="I132" s="9" t="s">
        <v>28</v>
      </c>
      <c r="J132" s="1" t="s">
        <v>1</v>
      </c>
      <c r="K132" s="9" t="s">
        <v>1</v>
      </c>
      <c r="L132" s="1" t="s">
        <v>1</v>
      </c>
      <c r="M132" s="9" t="s">
        <v>19</v>
      </c>
      <c r="N132" s="1" t="s">
        <v>1</v>
      </c>
      <c r="O132" s="36" t="s">
        <v>1</v>
      </c>
      <c r="P132" s="24"/>
      <c r="Q132" s="1" t="s">
        <v>1</v>
      </c>
      <c r="R132" s="9" t="s">
        <v>1</v>
      </c>
      <c r="S132" s="1" t="s">
        <v>1</v>
      </c>
      <c r="T132" s="36" t="s">
        <v>1</v>
      </c>
      <c r="U132" s="24"/>
      <c r="X132" t="e">
        <f>VLOOKUP(A132,'Ark1'!A:C,1,FALSE)</f>
        <v>#N/A</v>
      </c>
      <c r="Y132" t="e">
        <f>VLOOKUP(A132,'Ark1'!A:B,2,FALSE)</f>
        <v>#N/A</v>
      </c>
    </row>
    <row r="133" spans="1:25" x14ac:dyDescent="0.25">
      <c r="A133" s="10">
        <v>7200</v>
      </c>
      <c r="B133" s="5" t="s">
        <v>293</v>
      </c>
      <c r="C133" s="6" t="s">
        <v>1</v>
      </c>
      <c r="D133" s="5" t="s">
        <v>140</v>
      </c>
      <c r="E133" s="6" t="s">
        <v>1</v>
      </c>
      <c r="F133" s="33" t="s">
        <v>22</v>
      </c>
      <c r="G133" s="24"/>
      <c r="H133" s="1" t="s">
        <v>1</v>
      </c>
      <c r="I133" s="7" t="s">
        <v>1</v>
      </c>
      <c r="J133" s="6" t="s">
        <v>1</v>
      </c>
      <c r="K133" s="5" t="s">
        <v>1</v>
      </c>
      <c r="L133" s="6" t="s">
        <v>1</v>
      </c>
      <c r="M133" s="5" t="s">
        <v>19</v>
      </c>
      <c r="N133" s="6" t="s">
        <v>1</v>
      </c>
      <c r="O133" s="33" t="s">
        <v>1</v>
      </c>
      <c r="P133" s="24"/>
      <c r="Q133" s="6" t="s">
        <v>1</v>
      </c>
      <c r="R133" s="5" t="s">
        <v>1</v>
      </c>
      <c r="S133" s="1" t="s">
        <v>1</v>
      </c>
      <c r="T133" s="34" t="s">
        <v>20</v>
      </c>
      <c r="U133" s="24"/>
      <c r="X133" t="e">
        <f>VLOOKUP(A133,'Ark1'!A:C,1,FALSE)</f>
        <v>#N/A</v>
      </c>
      <c r="Y133" t="e">
        <f>VLOOKUP(A133,'Ark1'!A:B,2,FALSE)</f>
        <v>#N/A</v>
      </c>
    </row>
    <row r="134" spans="1:25" x14ac:dyDescent="0.25">
      <c r="A134" s="12">
        <v>7210</v>
      </c>
      <c r="B134" s="9" t="s">
        <v>294</v>
      </c>
      <c r="C134" s="1" t="s">
        <v>1</v>
      </c>
      <c r="D134" s="9" t="s">
        <v>140</v>
      </c>
      <c r="E134" s="1" t="s">
        <v>1</v>
      </c>
      <c r="F134" s="36" t="s">
        <v>27</v>
      </c>
      <c r="G134" s="24"/>
      <c r="H134" s="1" t="s">
        <v>1</v>
      </c>
      <c r="I134" s="9" t="s">
        <v>28</v>
      </c>
      <c r="J134" s="1" t="s">
        <v>1</v>
      </c>
      <c r="K134" s="9" t="s">
        <v>1</v>
      </c>
      <c r="L134" s="1" t="s">
        <v>1</v>
      </c>
      <c r="M134" s="9" t="s">
        <v>19</v>
      </c>
      <c r="N134" s="1" t="s">
        <v>1</v>
      </c>
      <c r="O134" s="36" t="s">
        <v>1</v>
      </c>
      <c r="P134" s="24"/>
      <c r="Q134" s="1" t="s">
        <v>1</v>
      </c>
      <c r="R134" s="9" t="s">
        <v>1</v>
      </c>
      <c r="S134" s="1" t="s">
        <v>1</v>
      </c>
      <c r="T134" s="36" t="s">
        <v>1</v>
      </c>
      <c r="U134" s="24"/>
      <c r="X134">
        <f>VLOOKUP(A134,'Ark1'!A:C,1,FALSE)</f>
        <v>7210</v>
      </c>
      <c r="Y134" t="str">
        <f>VLOOKUP(A134,'Ark1'!A:B,2,FALSE)</f>
        <v>Löner till tjänstemän</v>
      </c>
    </row>
    <row r="135" spans="1:25" x14ac:dyDescent="0.25">
      <c r="A135" s="10">
        <v>7299</v>
      </c>
      <c r="B135" s="5" t="s">
        <v>295</v>
      </c>
      <c r="C135" s="6" t="s">
        <v>1</v>
      </c>
      <c r="D135" s="5" t="s">
        <v>140</v>
      </c>
      <c r="E135" s="6" t="s">
        <v>1</v>
      </c>
      <c r="F135" s="33" t="s">
        <v>36</v>
      </c>
      <c r="G135" s="24"/>
      <c r="H135" s="1" t="s">
        <v>1</v>
      </c>
      <c r="I135" s="7" t="s">
        <v>1</v>
      </c>
      <c r="J135" s="6" t="s">
        <v>1</v>
      </c>
      <c r="K135" s="5" t="s">
        <v>296</v>
      </c>
      <c r="L135" s="6" t="s">
        <v>1</v>
      </c>
      <c r="M135" s="5" t="s">
        <v>19</v>
      </c>
      <c r="N135" s="6" t="s">
        <v>1</v>
      </c>
      <c r="O135" s="33" t="s">
        <v>1</v>
      </c>
      <c r="P135" s="24"/>
      <c r="Q135" s="6" t="s">
        <v>1</v>
      </c>
      <c r="R135" s="5" t="s">
        <v>1</v>
      </c>
      <c r="S135" s="1" t="s">
        <v>1</v>
      </c>
      <c r="T135" s="34" t="s">
        <v>20</v>
      </c>
      <c r="U135" s="24"/>
      <c r="X135" t="e">
        <f>VLOOKUP(A135,'Ark1'!A:C,1,FALSE)</f>
        <v>#N/A</v>
      </c>
      <c r="Y135" t="e">
        <f>VLOOKUP(A135,'Ark1'!A:B,2,FALSE)</f>
        <v>#N/A</v>
      </c>
    </row>
    <row r="136" spans="1:25" x14ac:dyDescent="0.25">
      <c r="A136" s="12">
        <v>7400</v>
      </c>
      <c r="B136" s="9" t="s">
        <v>297</v>
      </c>
      <c r="C136" s="1" t="s">
        <v>1</v>
      </c>
      <c r="D136" s="9" t="s">
        <v>140</v>
      </c>
      <c r="E136" s="1" t="s">
        <v>1</v>
      </c>
      <c r="F136" s="36" t="s">
        <v>27</v>
      </c>
      <c r="G136" s="24"/>
      <c r="H136" s="1" t="s">
        <v>1</v>
      </c>
      <c r="I136" s="9" t="s">
        <v>28</v>
      </c>
      <c r="J136" s="1" t="s">
        <v>1</v>
      </c>
      <c r="K136" s="9" t="s">
        <v>1</v>
      </c>
      <c r="L136" s="1" t="s">
        <v>1</v>
      </c>
      <c r="M136" s="9" t="s">
        <v>19</v>
      </c>
      <c r="N136" s="1" t="s">
        <v>1</v>
      </c>
      <c r="O136" s="36" t="s">
        <v>1</v>
      </c>
      <c r="P136" s="24"/>
      <c r="Q136" s="1" t="s">
        <v>1</v>
      </c>
      <c r="R136" s="9" t="s">
        <v>1</v>
      </c>
      <c r="S136" s="1" t="s">
        <v>1</v>
      </c>
      <c r="T136" s="36" t="s">
        <v>1</v>
      </c>
      <c r="U136" s="24"/>
      <c r="X136" t="e">
        <f>VLOOKUP(A136,'Ark1'!A:C,1,FALSE)</f>
        <v>#N/A</v>
      </c>
      <c r="Y136" t="e">
        <f>VLOOKUP(A136,'Ark1'!A:B,2,FALSE)</f>
        <v>#N/A</v>
      </c>
    </row>
    <row r="137" spans="1:25" x14ac:dyDescent="0.25">
      <c r="A137" s="13">
        <v>7590</v>
      </c>
      <c r="B137" s="7" t="s">
        <v>298</v>
      </c>
      <c r="C137" s="1" t="s">
        <v>1</v>
      </c>
      <c r="D137" s="7" t="s">
        <v>140</v>
      </c>
      <c r="E137" s="1" t="s">
        <v>1</v>
      </c>
      <c r="F137" s="34" t="s">
        <v>27</v>
      </c>
      <c r="G137" s="24"/>
      <c r="H137" s="1" t="s">
        <v>1</v>
      </c>
      <c r="I137" s="7" t="s">
        <v>28</v>
      </c>
      <c r="J137" s="1" t="s">
        <v>1</v>
      </c>
      <c r="K137" s="7" t="s">
        <v>1</v>
      </c>
      <c r="L137" s="1" t="s">
        <v>1</v>
      </c>
      <c r="M137" s="7" t="s">
        <v>19</v>
      </c>
      <c r="N137" s="1" t="s">
        <v>1</v>
      </c>
      <c r="O137" s="34" t="s">
        <v>1</v>
      </c>
      <c r="P137" s="24"/>
      <c r="Q137" s="1" t="s">
        <v>1</v>
      </c>
      <c r="R137" s="7" t="s">
        <v>1</v>
      </c>
      <c r="S137" s="1" t="s">
        <v>1</v>
      </c>
      <c r="T137" s="34" t="s">
        <v>1</v>
      </c>
      <c r="U137" s="24"/>
      <c r="X137" t="e">
        <f>VLOOKUP(A137,'Ark1'!A:C,1,FALSE)</f>
        <v>#N/A</v>
      </c>
      <c r="Y137" t="e">
        <f>VLOOKUP(A137,'Ark1'!A:B,2,FALSE)</f>
        <v>#N/A</v>
      </c>
    </row>
    <row r="138" spans="1:25" x14ac:dyDescent="0.25">
      <c r="A138" s="11">
        <v>7599</v>
      </c>
      <c r="B138" s="8" t="s">
        <v>299</v>
      </c>
      <c r="C138" s="6" t="s">
        <v>1</v>
      </c>
      <c r="D138" s="8" t="s">
        <v>140</v>
      </c>
      <c r="E138" s="6" t="s">
        <v>1</v>
      </c>
      <c r="F138" s="35" t="s">
        <v>36</v>
      </c>
      <c r="G138" s="24"/>
      <c r="H138" s="1" t="s">
        <v>1</v>
      </c>
      <c r="I138" s="9" t="s">
        <v>1</v>
      </c>
      <c r="J138" s="6" t="s">
        <v>1</v>
      </c>
      <c r="K138" s="8" t="s">
        <v>300</v>
      </c>
      <c r="L138" s="6" t="s">
        <v>1</v>
      </c>
      <c r="M138" s="8" t="s">
        <v>19</v>
      </c>
      <c r="N138" s="6" t="s">
        <v>1</v>
      </c>
      <c r="O138" s="35" t="s">
        <v>1</v>
      </c>
      <c r="P138" s="24"/>
      <c r="Q138" s="6" t="s">
        <v>1</v>
      </c>
      <c r="R138" s="8" t="s">
        <v>1</v>
      </c>
      <c r="S138" s="1" t="s">
        <v>1</v>
      </c>
      <c r="T138" s="36" t="s">
        <v>20</v>
      </c>
      <c r="U138" s="24"/>
      <c r="X138" t="e">
        <f>VLOOKUP(A138,'Ark1'!A:C,1,FALSE)</f>
        <v>#N/A</v>
      </c>
      <c r="Y138" t="e">
        <f>VLOOKUP(A138,'Ark1'!A:B,2,FALSE)</f>
        <v>#N/A</v>
      </c>
    </row>
    <row r="139" spans="1:25" x14ac:dyDescent="0.25">
      <c r="A139" s="10">
        <v>7800</v>
      </c>
      <c r="B139" s="5" t="s">
        <v>301</v>
      </c>
      <c r="C139" s="6" t="s">
        <v>1</v>
      </c>
      <c r="D139" s="5" t="s">
        <v>140</v>
      </c>
      <c r="E139" s="6" t="s">
        <v>1</v>
      </c>
      <c r="F139" s="33" t="s">
        <v>22</v>
      </c>
      <c r="G139" s="24"/>
      <c r="H139" s="1" t="s">
        <v>1</v>
      </c>
      <c r="I139" s="7" t="s">
        <v>1</v>
      </c>
      <c r="J139" s="6" t="s">
        <v>1</v>
      </c>
      <c r="K139" s="5" t="s">
        <v>1</v>
      </c>
      <c r="L139" s="6" t="s">
        <v>1</v>
      </c>
      <c r="M139" s="5" t="s">
        <v>19</v>
      </c>
      <c r="N139" s="6" t="s">
        <v>1</v>
      </c>
      <c r="O139" s="33" t="s">
        <v>1</v>
      </c>
      <c r="P139" s="24"/>
      <c r="Q139" s="6" t="s">
        <v>1</v>
      </c>
      <c r="R139" s="5" t="s">
        <v>1</v>
      </c>
      <c r="S139" s="1" t="s">
        <v>1</v>
      </c>
      <c r="T139" s="34" t="s">
        <v>20</v>
      </c>
      <c r="U139" s="24"/>
      <c r="X139" t="e">
        <f>VLOOKUP(A139,'Ark1'!A:C,1,FALSE)</f>
        <v>#N/A</v>
      </c>
      <c r="Y139" t="e">
        <f>VLOOKUP(A139,'Ark1'!A:B,2,FALSE)</f>
        <v>#N/A</v>
      </c>
    </row>
    <row r="140" spans="1:25" x14ac:dyDescent="0.25">
      <c r="A140" s="12">
        <v>7820</v>
      </c>
      <c r="B140" s="9" t="s">
        <v>302</v>
      </c>
      <c r="C140" s="1" t="s">
        <v>1</v>
      </c>
      <c r="D140" s="9" t="s">
        <v>140</v>
      </c>
      <c r="E140" s="1" t="s">
        <v>1</v>
      </c>
      <c r="F140" s="36" t="s">
        <v>27</v>
      </c>
      <c r="G140" s="24"/>
      <c r="H140" s="1" t="s">
        <v>1</v>
      </c>
      <c r="I140" s="9" t="s">
        <v>28</v>
      </c>
      <c r="J140" s="1" t="s">
        <v>1</v>
      </c>
      <c r="K140" s="9" t="s">
        <v>1</v>
      </c>
      <c r="L140" s="1" t="s">
        <v>1</v>
      </c>
      <c r="M140" s="9" t="s">
        <v>19</v>
      </c>
      <c r="N140" s="1" t="s">
        <v>1</v>
      </c>
      <c r="O140" s="36" t="s">
        <v>1</v>
      </c>
      <c r="P140" s="24"/>
      <c r="Q140" s="1" t="s">
        <v>1</v>
      </c>
      <c r="R140" s="9" t="s">
        <v>1</v>
      </c>
      <c r="S140" s="1" t="s">
        <v>1</v>
      </c>
      <c r="T140" s="36" t="s">
        <v>1</v>
      </c>
      <c r="U140" s="24"/>
      <c r="X140" t="e">
        <f>VLOOKUP(A140,'Ark1'!A:C,1,FALSE)</f>
        <v>#N/A</v>
      </c>
      <c r="Y140" t="e">
        <f>VLOOKUP(A140,'Ark1'!A:B,2,FALSE)</f>
        <v>#N/A</v>
      </c>
    </row>
    <row r="141" spans="1:25" x14ac:dyDescent="0.25">
      <c r="A141" s="13">
        <v>7830</v>
      </c>
      <c r="B141" s="7" t="s">
        <v>303</v>
      </c>
      <c r="C141" s="1" t="s">
        <v>1</v>
      </c>
      <c r="D141" s="7" t="s">
        <v>140</v>
      </c>
      <c r="E141" s="1" t="s">
        <v>1</v>
      </c>
      <c r="F141" s="34" t="s">
        <v>27</v>
      </c>
      <c r="G141" s="24"/>
      <c r="H141" s="1" t="s">
        <v>1</v>
      </c>
      <c r="I141" s="7" t="s">
        <v>28</v>
      </c>
      <c r="J141" s="1" t="s">
        <v>1</v>
      </c>
      <c r="K141" s="7" t="s">
        <v>1</v>
      </c>
      <c r="L141" s="1" t="s">
        <v>1</v>
      </c>
      <c r="M141" s="7" t="s">
        <v>19</v>
      </c>
      <c r="N141" s="1" t="s">
        <v>1</v>
      </c>
      <c r="O141" s="34" t="s">
        <v>1</v>
      </c>
      <c r="P141" s="24"/>
      <c r="Q141" s="1" t="s">
        <v>1</v>
      </c>
      <c r="R141" s="7" t="s">
        <v>1</v>
      </c>
      <c r="S141" s="1" t="s">
        <v>1</v>
      </c>
      <c r="T141" s="34" t="s">
        <v>1</v>
      </c>
      <c r="U141" s="24"/>
      <c r="X141" t="e">
        <f>VLOOKUP(A141,'Ark1'!A:C,1,FALSE)</f>
        <v>#N/A</v>
      </c>
      <c r="Y141" t="e">
        <f>VLOOKUP(A141,'Ark1'!A:B,2,FALSE)</f>
        <v>#N/A</v>
      </c>
    </row>
    <row r="142" spans="1:25" x14ac:dyDescent="0.25">
      <c r="A142" s="12">
        <v>7834</v>
      </c>
      <c r="B142" s="9" t="s">
        <v>304</v>
      </c>
      <c r="C142" s="1" t="s">
        <v>1</v>
      </c>
      <c r="D142" s="9" t="s">
        <v>140</v>
      </c>
      <c r="E142" s="1" t="s">
        <v>1</v>
      </c>
      <c r="F142" s="36" t="s">
        <v>27</v>
      </c>
      <c r="G142" s="24"/>
      <c r="H142" s="1" t="s">
        <v>1</v>
      </c>
      <c r="I142" s="9" t="s">
        <v>28</v>
      </c>
      <c r="J142" s="1" t="s">
        <v>1</v>
      </c>
      <c r="K142" s="9" t="s">
        <v>1</v>
      </c>
      <c r="L142" s="1" t="s">
        <v>1</v>
      </c>
      <c r="M142" s="9" t="s">
        <v>19</v>
      </c>
      <c r="N142" s="1" t="s">
        <v>1</v>
      </c>
      <c r="O142" s="36" t="s">
        <v>1</v>
      </c>
      <c r="P142" s="24"/>
      <c r="Q142" s="1" t="s">
        <v>1</v>
      </c>
      <c r="R142" s="9" t="s">
        <v>1</v>
      </c>
      <c r="S142" s="1" t="s">
        <v>1</v>
      </c>
      <c r="T142" s="36" t="s">
        <v>1</v>
      </c>
      <c r="U142" s="24"/>
      <c r="X142">
        <f>VLOOKUP(A142,'Ark1'!A:C,1,FALSE)</f>
        <v>7834</v>
      </c>
      <c r="Y142" t="str">
        <f>VLOOKUP(A142,'Ark1'!A:B,2,FALSE)</f>
        <v>Avskrivningar bilar &amp; övriga fordon</v>
      </c>
    </row>
    <row r="143" spans="1:25" x14ac:dyDescent="0.25">
      <c r="A143" s="13">
        <v>7891</v>
      </c>
      <c r="B143" s="7" t="s">
        <v>305</v>
      </c>
      <c r="C143" s="1" t="s">
        <v>1</v>
      </c>
      <c r="D143" s="7" t="s">
        <v>140</v>
      </c>
      <c r="E143" s="1" t="s">
        <v>1</v>
      </c>
      <c r="F143" s="34" t="s">
        <v>27</v>
      </c>
      <c r="G143" s="24"/>
      <c r="H143" s="1" t="s">
        <v>1</v>
      </c>
      <c r="I143" s="7" t="s">
        <v>28</v>
      </c>
      <c r="J143" s="1" t="s">
        <v>1</v>
      </c>
      <c r="K143" s="7" t="s">
        <v>1</v>
      </c>
      <c r="L143" s="1" t="s">
        <v>1</v>
      </c>
      <c r="M143" s="7" t="s">
        <v>19</v>
      </c>
      <c r="N143" s="1" t="s">
        <v>1</v>
      </c>
      <c r="O143" s="34" t="s">
        <v>1</v>
      </c>
      <c r="P143" s="24"/>
      <c r="Q143" s="1" t="s">
        <v>1</v>
      </c>
      <c r="R143" s="7" t="s">
        <v>1</v>
      </c>
      <c r="S143" s="1" t="s">
        <v>1</v>
      </c>
      <c r="T143" s="34" t="s">
        <v>1</v>
      </c>
      <c r="U143" s="24"/>
      <c r="X143" t="e">
        <f>VLOOKUP(A143,'Ark1'!A:C,1,FALSE)</f>
        <v>#N/A</v>
      </c>
      <c r="Y143" t="e">
        <f>VLOOKUP(A143,'Ark1'!A:B,2,FALSE)</f>
        <v>#N/A</v>
      </c>
    </row>
    <row r="144" spans="1:25" x14ac:dyDescent="0.25">
      <c r="A144" s="11">
        <v>7899</v>
      </c>
      <c r="B144" s="8" t="s">
        <v>306</v>
      </c>
      <c r="C144" s="6" t="s">
        <v>1</v>
      </c>
      <c r="D144" s="8" t="s">
        <v>140</v>
      </c>
      <c r="E144" s="6" t="s">
        <v>1</v>
      </c>
      <c r="F144" s="35" t="s">
        <v>36</v>
      </c>
      <c r="G144" s="24"/>
      <c r="H144" s="1" t="s">
        <v>1</v>
      </c>
      <c r="I144" s="9" t="s">
        <v>1</v>
      </c>
      <c r="J144" s="6" t="s">
        <v>1</v>
      </c>
      <c r="K144" s="8" t="s">
        <v>307</v>
      </c>
      <c r="L144" s="6" t="s">
        <v>1</v>
      </c>
      <c r="M144" s="8" t="s">
        <v>19</v>
      </c>
      <c r="N144" s="6" t="s">
        <v>1</v>
      </c>
      <c r="O144" s="35" t="s">
        <v>1</v>
      </c>
      <c r="P144" s="24"/>
      <c r="Q144" s="6" t="s">
        <v>1</v>
      </c>
      <c r="R144" s="8" t="s">
        <v>1</v>
      </c>
      <c r="S144" s="1" t="s">
        <v>1</v>
      </c>
      <c r="T144" s="36" t="s">
        <v>20</v>
      </c>
      <c r="U144" s="24"/>
      <c r="X144" t="e">
        <f>VLOOKUP(A144,'Ark1'!A:C,1,FALSE)</f>
        <v>#N/A</v>
      </c>
      <c r="Y144" t="e">
        <f>VLOOKUP(A144,'Ark1'!A:B,2,FALSE)</f>
        <v>#N/A</v>
      </c>
    </row>
    <row r="145" spans="1:25" x14ac:dyDescent="0.25">
      <c r="A145" s="13">
        <v>7990</v>
      </c>
      <c r="B145" s="7" t="s">
        <v>308</v>
      </c>
      <c r="C145" s="1" t="s">
        <v>1</v>
      </c>
      <c r="D145" s="7" t="s">
        <v>140</v>
      </c>
      <c r="E145" s="1" t="s">
        <v>1</v>
      </c>
      <c r="F145" s="34" t="s">
        <v>27</v>
      </c>
      <c r="G145" s="24"/>
      <c r="H145" s="1" t="s">
        <v>1</v>
      </c>
      <c r="I145" s="7" t="s">
        <v>28</v>
      </c>
      <c r="J145" s="1" t="s">
        <v>1</v>
      </c>
      <c r="K145" s="7" t="s">
        <v>1</v>
      </c>
      <c r="L145" s="1" t="s">
        <v>1</v>
      </c>
      <c r="M145" s="7" t="s">
        <v>30</v>
      </c>
      <c r="N145" s="1" t="s">
        <v>1</v>
      </c>
      <c r="O145" s="34" t="s">
        <v>31</v>
      </c>
      <c r="P145" s="24"/>
      <c r="Q145" s="1" t="s">
        <v>1</v>
      </c>
      <c r="R145" s="7" t="s">
        <v>32</v>
      </c>
      <c r="S145" s="1" t="s">
        <v>1</v>
      </c>
      <c r="T145" s="34" t="s">
        <v>1</v>
      </c>
      <c r="U145" s="24"/>
      <c r="X145" t="e">
        <f>VLOOKUP(A145,'Ark1'!A:C,1,FALSE)</f>
        <v>#N/A</v>
      </c>
      <c r="Y145" t="e">
        <f>VLOOKUP(A145,'Ark1'!A:B,2,FALSE)</f>
        <v>#N/A</v>
      </c>
    </row>
    <row r="146" spans="1:25" x14ac:dyDescent="0.25">
      <c r="A146" s="12">
        <v>7995</v>
      </c>
      <c r="B146" s="9" t="s">
        <v>309</v>
      </c>
      <c r="C146" s="1" t="s">
        <v>1</v>
      </c>
      <c r="D146" s="9" t="s">
        <v>140</v>
      </c>
      <c r="E146" s="1" t="s">
        <v>1</v>
      </c>
      <c r="F146" s="36" t="s">
        <v>27</v>
      </c>
      <c r="G146" s="24"/>
      <c r="H146" s="1" t="s">
        <v>1</v>
      </c>
      <c r="I146" s="9" t="s">
        <v>28</v>
      </c>
      <c r="J146" s="1" t="s">
        <v>1</v>
      </c>
      <c r="K146" s="9" t="s">
        <v>1</v>
      </c>
      <c r="L146" s="1" t="s">
        <v>1</v>
      </c>
      <c r="M146" s="9" t="s">
        <v>19</v>
      </c>
      <c r="N146" s="1" t="s">
        <v>1</v>
      </c>
      <c r="O146" s="36" t="s">
        <v>1</v>
      </c>
      <c r="P146" s="24"/>
      <c r="Q146" s="1" t="s">
        <v>1</v>
      </c>
      <c r="R146" s="9" t="s">
        <v>1</v>
      </c>
      <c r="S146" s="1" t="s">
        <v>1</v>
      </c>
      <c r="T146" s="36" t="s">
        <v>1</v>
      </c>
      <c r="U146" s="24"/>
      <c r="X146" t="e">
        <f>VLOOKUP(A146,'Ark1'!A:C,1,FALSE)</f>
        <v>#N/A</v>
      </c>
      <c r="Y146" t="e">
        <f>VLOOKUP(A146,'Ark1'!A:B,2,FALSE)</f>
        <v>#N/A</v>
      </c>
    </row>
    <row r="147" spans="1:25" x14ac:dyDescent="0.25">
      <c r="A147" s="13">
        <v>8010</v>
      </c>
      <c r="B147" s="7" t="s">
        <v>310</v>
      </c>
      <c r="C147" s="1" t="s">
        <v>1</v>
      </c>
      <c r="D147" s="7" t="s">
        <v>17</v>
      </c>
      <c r="E147" s="1" t="s">
        <v>1</v>
      </c>
      <c r="F147" s="34" t="s">
        <v>27</v>
      </c>
      <c r="G147" s="24"/>
      <c r="H147" s="1" t="s">
        <v>1</v>
      </c>
      <c r="I147" s="7" t="s">
        <v>28</v>
      </c>
      <c r="J147" s="1" t="s">
        <v>1</v>
      </c>
      <c r="K147" s="7" t="s">
        <v>1</v>
      </c>
      <c r="L147" s="1" t="s">
        <v>1</v>
      </c>
      <c r="M147" s="7" t="s">
        <v>19</v>
      </c>
      <c r="N147" s="1" t="s">
        <v>1</v>
      </c>
      <c r="O147" s="34" t="s">
        <v>1</v>
      </c>
      <c r="P147" s="24"/>
      <c r="Q147" s="1" t="s">
        <v>1</v>
      </c>
      <c r="R147" s="7" t="s">
        <v>1</v>
      </c>
      <c r="S147" s="1" t="s">
        <v>1</v>
      </c>
      <c r="T147" s="34" t="s">
        <v>1</v>
      </c>
      <c r="U147" s="24"/>
      <c r="X147" t="e">
        <f>VLOOKUP(A147,'Ark1'!A:C,1,FALSE)</f>
        <v>#N/A</v>
      </c>
      <c r="Y147" t="e">
        <f>VLOOKUP(A147,'Ark1'!A:B,2,FALSE)</f>
        <v>#N/A</v>
      </c>
    </row>
    <row r="148" spans="1:25" x14ac:dyDescent="0.25">
      <c r="A148" s="1" t="s">
        <v>1</v>
      </c>
      <c r="B148" s="1" t="s">
        <v>1</v>
      </c>
      <c r="C148" s="1" t="s">
        <v>1</v>
      </c>
      <c r="D148" s="1" t="s">
        <v>1</v>
      </c>
      <c r="E148" s="1" t="s">
        <v>1</v>
      </c>
      <c r="F148" s="32" t="s">
        <v>1</v>
      </c>
      <c r="G148" s="24"/>
      <c r="H148" s="1" t="s">
        <v>1</v>
      </c>
      <c r="I148" s="1" t="s">
        <v>1</v>
      </c>
      <c r="J148" s="1" t="s">
        <v>1</v>
      </c>
      <c r="K148" s="1" t="s">
        <v>1</v>
      </c>
      <c r="L148" s="1" t="s">
        <v>1</v>
      </c>
      <c r="M148" s="1" t="s">
        <v>1</v>
      </c>
      <c r="N148" s="1" t="s">
        <v>1</v>
      </c>
      <c r="O148" s="32" t="s">
        <v>1</v>
      </c>
      <c r="P148" s="24"/>
      <c r="Q148" s="1" t="s">
        <v>1</v>
      </c>
      <c r="R148" s="1" t="s">
        <v>1</v>
      </c>
      <c r="S148" s="1" t="s">
        <v>1</v>
      </c>
      <c r="T148" s="32" t="s">
        <v>1</v>
      </c>
      <c r="U148" s="24"/>
      <c r="X148" t="e">
        <f>VLOOKUP(A148,'Ark1'!A:C,1,FALSE)</f>
        <v>#N/A</v>
      </c>
      <c r="Y148" t="e">
        <f>VLOOKUP(A148,'Ark1'!A:B,2,FALSE)</f>
        <v>#N/A</v>
      </c>
    </row>
    <row r="149" spans="1:25" x14ac:dyDescent="0.25">
      <c r="A149" s="12">
        <v>8220</v>
      </c>
      <c r="B149" s="9" t="s">
        <v>311</v>
      </c>
      <c r="C149" s="1" t="s">
        <v>1</v>
      </c>
      <c r="D149" s="9" t="s">
        <v>140</v>
      </c>
      <c r="E149" s="1" t="s">
        <v>1</v>
      </c>
      <c r="F149" s="36" t="s">
        <v>27</v>
      </c>
      <c r="G149" s="24"/>
      <c r="H149" s="1" t="s">
        <v>1</v>
      </c>
      <c r="I149" s="9" t="s">
        <v>28</v>
      </c>
      <c r="J149" s="1" t="s">
        <v>1</v>
      </c>
      <c r="K149" s="9" t="s">
        <v>1</v>
      </c>
      <c r="L149" s="1" t="s">
        <v>1</v>
      </c>
      <c r="M149" s="9" t="s">
        <v>19</v>
      </c>
      <c r="N149" s="1" t="s">
        <v>1</v>
      </c>
      <c r="O149" s="36" t="s">
        <v>1</v>
      </c>
      <c r="P149" s="24"/>
      <c r="Q149" s="1" t="s">
        <v>1</v>
      </c>
      <c r="R149" s="9" t="s">
        <v>1</v>
      </c>
      <c r="S149" s="1" t="s">
        <v>1</v>
      </c>
      <c r="T149" s="36" t="s">
        <v>1</v>
      </c>
      <c r="U149" s="24"/>
      <c r="X149" t="e">
        <f>VLOOKUP(A149,'Ark1'!A:C,1,FALSE)</f>
        <v>#N/A</v>
      </c>
      <c r="Y149" t="e">
        <f>VLOOKUP(A149,'Ark1'!A:B,2,FALSE)</f>
        <v>#N/A</v>
      </c>
    </row>
    <row r="150" spans="1:25" x14ac:dyDescent="0.25">
      <c r="A150" s="13">
        <v>8221</v>
      </c>
      <c r="B150" s="7" t="s">
        <v>312</v>
      </c>
      <c r="C150" s="1" t="s">
        <v>1</v>
      </c>
      <c r="D150" s="7" t="s">
        <v>140</v>
      </c>
      <c r="E150" s="1" t="s">
        <v>1</v>
      </c>
      <c r="F150" s="34" t="s">
        <v>27</v>
      </c>
      <c r="G150" s="24"/>
      <c r="H150" s="1" t="s">
        <v>1</v>
      </c>
      <c r="I150" s="7" t="s">
        <v>28</v>
      </c>
      <c r="J150" s="1" t="s">
        <v>1</v>
      </c>
      <c r="K150" s="7" t="s">
        <v>1</v>
      </c>
      <c r="L150" s="1" t="s">
        <v>1</v>
      </c>
      <c r="M150" s="7" t="s">
        <v>19</v>
      </c>
      <c r="N150" s="1" t="s">
        <v>1</v>
      </c>
      <c r="O150" s="34" t="s">
        <v>1</v>
      </c>
      <c r="P150" s="24"/>
      <c r="Q150" s="1" t="s">
        <v>1</v>
      </c>
      <c r="R150" s="7" t="s">
        <v>1</v>
      </c>
      <c r="S150" s="1" t="s">
        <v>1</v>
      </c>
      <c r="T150" s="34" t="s">
        <v>1</v>
      </c>
      <c r="U150" s="24"/>
      <c r="X150" t="e">
        <f>VLOOKUP(A150,'Ark1'!A:C,1,FALSE)</f>
        <v>#N/A</v>
      </c>
      <c r="Y150" t="e">
        <f>VLOOKUP(A150,'Ark1'!A:B,2,FALSE)</f>
        <v>#N/A</v>
      </c>
    </row>
    <row r="151" spans="1:25" x14ac:dyDescent="0.25">
      <c r="A151" s="12">
        <v>8231</v>
      </c>
      <c r="B151" s="9" t="s">
        <v>313</v>
      </c>
      <c r="C151" s="1" t="s">
        <v>1</v>
      </c>
      <c r="D151" s="9" t="s">
        <v>140</v>
      </c>
      <c r="E151" s="1" t="s">
        <v>1</v>
      </c>
      <c r="F151" s="36" t="s">
        <v>27</v>
      </c>
      <c r="G151" s="24"/>
      <c r="H151" s="1" t="s">
        <v>1</v>
      </c>
      <c r="I151" s="9" t="s">
        <v>28</v>
      </c>
      <c r="J151" s="1" t="s">
        <v>1</v>
      </c>
      <c r="K151" s="9" t="s">
        <v>1</v>
      </c>
      <c r="L151" s="1" t="s">
        <v>1</v>
      </c>
      <c r="M151" s="9" t="s">
        <v>19</v>
      </c>
      <c r="N151" s="1" t="s">
        <v>1</v>
      </c>
      <c r="O151" s="36" t="s">
        <v>1</v>
      </c>
      <c r="P151" s="24"/>
      <c r="Q151" s="1" t="s">
        <v>1</v>
      </c>
      <c r="R151" s="9" t="s">
        <v>1</v>
      </c>
      <c r="S151" s="1" t="s">
        <v>1</v>
      </c>
      <c r="T151" s="36" t="s">
        <v>1</v>
      </c>
      <c r="U151" s="24"/>
      <c r="X151" t="e">
        <f>VLOOKUP(A151,'Ark1'!A:C,1,FALSE)</f>
        <v>#N/A</v>
      </c>
      <c r="Y151" t="e">
        <f>VLOOKUP(A151,'Ark1'!A:B,2,FALSE)</f>
        <v>#N/A</v>
      </c>
    </row>
    <row r="152" spans="1:25" x14ac:dyDescent="0.25">
      <c r="A152" s="13">
        <v>8234</v>
      </c>
      <c r="B152" s="7" t="s">
        <v>314</v>
      </c>
      <c r="C152" s="1" t="s">
        <v>1</v>
      </c>
      <c r="D152" s="7" t="s">
        <v>140</v>
      </c>
      <c r="E152" s="1" t="s">
        <v>1</v>
      </c>
      <c r="F152" s="34" t="s">
        <v>27</v>
      </c>
      <c r="G152" s="24"/>
      <c r="H152" s="1" t="s">
        <v>1</v>
      </c>
      <c r="I152" s="7" t="s">
        <v>28</v>
      </c>
      <c r="J152" s="1" t="s">
        <v>1</v>
      </c>
      <c r="K152" s="7" t="s">
        <v>1</v>
      </c>
      <c r="L152" s="1" t="s">
        <v>1</v>
      </c>
      <c r="M152" s="7" t="s">
        <v>19</v>
      </c>
      <c r="N152" s="1" t="s">
        <v>1</v>
      </c>
      <c r="O152" s="34" t="s">
        <v>1</v>
      </c>
      <c r="P152" s="24"/>
      <c r="Q152" s="1" t="s">
        <v>1</v>
      </c>
      <c r="R152" s="7" t="s">
        <v>1</v>
      </c>
      <c r="S152" s="1" t="s">
        <v>1</v>
      </c>
      <c r="T152" s="34" t="s">
        <v>1</v>
      </c>
      <c r="U152" s="24"/>
      <c r="X152" t="e">
        <f>VLOOKUP(A152,'Ark1'!A:C,1,FALSE)</f>
        <v>#N/A</v>
      </c>
      <c r="Y152" t="e">
        <f>VLOOKUP(A152,'Ark1'!A:B,2,FALSE)</f>
        <v>#N/A</v>
      </c>
    </row>
    <row r="153" spans="1:25" x14ac:dyDescent="0.25">
      <c r="A153" s="11">
        <v>8400</v>
      </c>
      <c r="B153" s="8" t="s">
        <v>315</v>
      </c>
      <c r="C153" s="6" t="s">
        <v>1</v>
      </c>
      <c r="D153" s="8" t="s">
        <v>140</v>
      </c>
      <c r="E153" s="6" t="s">
        <v>1</v>
      </c>
      <c r="F153" s="35" t="s">
        <v>22</v>
      </c>
      <c r="G153" s="24"/>
      <c r="H153" s="1" t="s">
        <v>1</v>
      </c>
      <c r="I153" s="9" t="s">
        <v>1</v>
      </c>
      <c r="J153" s="6" t="s">
        <v>1</v>
      </c>
      <c r="K153" s="8" t="s">
        <v>1</v>
      </c>
      <c r="L153" s="6" t="s">
        <v>1</v>
      </c>
      <c r="M153" s="8" t="s">
        <v>19</v>
      </c>
      <c r="N153" s="6" t="s">
        <v>1</v>
      </c>
      <c r="O153" s="35" t="s">
        <v>1</v>
      </c>
      <c r="P153" s="24"/>
      <c r="Q153" s="6" t="s">
        <v>1</v>
      </c>
      <c r="R153" s="8" t="s">
        <v>1</v>
      </c>
      <c r="S153" s="1" t="s">
        <v>1</v>
      </c>
      <c r="T153" s="36" t="s">
        <v>20</v>
      </c>
      <c r="U153" s="24"/>
      <c r="X153" t="e">
        <f>VLOOKUP(A153,'Ark1'!A:C,1,FALSE)</f>
        <v>#N/A</v>
      </c>
      <c r="Y153" t="e">
        <f>VLOOKUP(A153,'Ark1'!A:B,2,FALSE)</f>
        <v>#N/A</v>
      </c>
    </row>
    <row r="154" spans="1:25" x14ac:dyDescent="0.25">
      <c r="A154" s="13">
        <v>8410</v>
      </c>
      <c r="B154" s="7" t="s">
        <v>316</v>
      </c>
      <c r="C154" s="1" t="s">
        <v>1</v>
      </c>
      <c r="D154" s="7" t="s">
        <v>140</v>
      </c>
      <c r="E154" s="1" t="s">
        <v>1</v>
      </c>
      <c r="F154" s="34" t="s">
        <v>27</v>
      </c>
      <c r="G154" s="24"/>
      <c r="H154" s="1" t="s">
        <v>1</v>
      </c>
      <c r="I154" s="7" t="s">
        <v>28</v>
      </c>
      <c r="J154" s="1" t="s">
        <v>1</v>
      </c>
      <c r="K154" s="7" t="s">
        <v>1</v>
      </c>
      <c r="L154" s="1" t="s">
        <v>1</v>
      </c>
      <c r="M154" s="7" t="s">
        <v>19</v>
      </c>
      <c r="N154" s="1" t="s">
        <v>1</v>
      </c>
      <c r="O154" s="34" t="s">
        <v>1</v>
      </c>
      <c r="P154" s="24"/>
      <c r="Q154" s="1" t="s">
        <v>1</v>
      </c>
      <c r="R154" s="7" t="s">
        <v>1</v>
      </c>
      <c r="S154" s="1" t="s">
        <v>1</v>
      </c>
      <c r="T154" s="34" t="s">
        <v>1</v>
      </c>
      <c r="U154" s="24"/>
      <c r="X154" t="e">
        <f>VLOOKUP(A154,'Ark1'!A:C,1,FALSE)</f>
        <v>#N/A</v>
      </c>
      <c r="Y154" t="e">
        <f>VLOOKUP(A154,'Ark1'!A:B,2,FALSE)</f>
        <v>#N/A</v>
      </c>
    </row>
    <row r="155" spans="1:25" ht="21" x14ac:dyDescent="0.25">
      <c r="A155" s="12">
        <v>8420</v>
      </c>
      <c r="B155" s="9" t="s">
        <v>317</v>
      </c>
      <c r="C155" s="1" t="s">
        <v>1</v>
      </c>
      <c r="D155" s="9" t="s">
        <v>140</v>
      </c>
      <c r="E155" s="1" t="s">
        <v>1</v>
      </c>
      <c r="F155" s="36" t="s">
        <v>27</v>
      </c>
      <c r="G155" s="24"/>
      <c r="H155" s="1" t="s">
        <v>1</v>
      </c>
      <c r="I155" s="9" t="s">
        <v>28</v>
      </c>
      <c r="J155" s="1" t="s">
        <v>1</v>
      </c>
      <c r="K155" s="9" t="s">
        <v>1</v>
      </c>
      <c r="L155" s="1" t="s">
        <v>1</v>
      </c>
      <c r="M155" s="9" t="s">
        <v>34</v>
      </c>
      <c r="N155" s="1" t="s">
        <v>1</v>
      </c>
      <c r="O155" s="36" t="s">
        <v>31</v>
      </c>
      <c r="P155" s="24"/>
      <c r="Q155" s="1" t="s">
        <v>1</v>
      </c>
      <c r="R155" s="9" t="s">
        <v>199</v>
      </c>
      <c r="S155" s="1" t="s">
        <v>1</v>
      </c>
      <c r="T155" s="36" t="s">
        <v>1</v>
      </c>
      <c r="U155" s="24"/>
      <c r="X155" t="e">
        <f>VLOOKUP(A155,'Ark1'!A:C,1,FALSE)</f>
        <v>#N/A</v>
      </c>
      <c r="Y155" t="e">
        <f>VLOOKUP(A155,'Ark1'!A:B,2,FALSE)</f>
        <v>#N/A</v>
      </c>
    </row>
    <row r="156" spans="1:25" x14ac:dyDescent="0.25">
      <c r="A156" s="13">
        <v>8422</v>
      </c>
      <c r="B156" s="7" t="s">
        <v>318</v>
      </c>
      <c r="C156" s="1" t="s">
        <v>1</v>
      </c>
      <c r="D156" s="7" t="s">
        <v>140</v>
      </c>
      <c r="E156" s="1" t="s">
        <v>1</v>
      </c>
      <c r="F156" s="34" t="s">
        <v>27</v>
      </c>
      <c r="G156" s="24"/>
      <c r="H156" s="1" t="s">
        <v>1</v>
      </c>
      <c r="I156" s="7" t="s">
        <v>28</v>
      </c>
      <c r="J156" s="1" t="s">
        <v>1</v>
      </c>
      <c r="K156" s="7" t="s">
        <v>1</v>
      </c>
      <c r="L156" s="1" t="s">
        <v>1</v>
      </c>
      <c r="M156" s="7" t="s">
        <v>19</v>
      </c>
      <c r="N156" s="1" t="s">
        <v>1</v>
      </c>
      <c r="O156" s="34" t="s">
        <v>1</v>
      </c>
      <c r="P156" s="24"/>
      <c r="Q156" s="1" t="s">
        <v>1</v>
      </c>
      <c r="R156" s="7" t="s">
        <v>1</v>
      </c>
      <c r="S156" s="1" t="s">
        <v>1</v>
      </c>
      <c r="T156" s="34" t="s">
        <v>1</v>
      </c>
      <c r="U156" s="24"/>
      <c r="X156">
        <f>VLOOKUP(A156,'Ark1'!A:C,1,FALSE)</f>
        <v>8422</v>
      </c>
      <c r="Y156" t="str">
        <f>VLOOKUP(A156,'Ark1'!A:B,2,FALSE)</f>
        <v>Räntekostnader förseningar</v>
      </c>
    </row>
    <row r="157" spans="1:25" x14ac:dyDescent="0.25">
      <c r="A157" s="12">
        <v>8451</v>
      </c>
      <c r="B157" s="9" t="s">
        <v>319</v>
      </c>
      <c r="C157" s="1" t="s">
        <v>1</v>
      </c>
      <c r="D157" s="9" t="s">
        <v>140</v>
      </c>
      <c r="E157" s="1" t="s">
        <v>1</v>
      </c>
      <c r="F157" s="36" t="s">
        <v>27</v>
      </c>
      <c r="G157" s="24"/>
      <c r="H157" s="1" t="s">
        <v>1</v>
      </c>
      <c r="I157" s="9" t="s">
        <v>28</v>
      </c>
      <c r="J157" s="1" t="s">
        <v>1</v>
      </c>
      <c r="K157" s="9" t="s">
        <v>1</v>
      </c>
      <c r="L157" s="1" t="s">
        <v>1</v>
      </c>
      <c r="M157" s="9" t="s">
        <v>19</v>
      </c>
      <c r="N157" s="1" t="s">
        <v>1</v>
      </c>
      <c r="O157" s="36" t="s">
        <v>1</v>
      </c>
      <c r="P157" s="24"/>
      <c r="Q157" s="1" t="s">
        <v>1</v>
      </c>
      <c r="R157" s="9" t="s">
        <v>1</v>
      </c>
      <c r="S157" s="1" t="s">
        <v>1</v>
      </c>
      <c r="T157" s="36" t="s">
        <v>1</v>
      </c>
      <c r="U157" s="24"/>
      <c r="X157" t="e">
        <f>VLOOKUP(A157,'Ark1'!A:C,1,FALSE)</f>
        <v>#N/A</v>
      </c>
      <c r="Y157" t="e">
        <f>VLOOKUP(A157,'Ark1'!A:B,2,FALSE)</f>
        <v>#N/A</v>
      </c>
    </row>
    <row r="158" spans="1:25" x14ac:dyDescent="0.25">
      <c r="A158" s="13">
        <v>8452</v>
      </c>
      <c r="B158" s="7" t="s">
        <v>320</v>
      </c>
      <c r="C158" s="1" t="s">
        <v>1</v>
      </c>
      <c r="D158" s="7" t="s">
        <v>140</v>
      </c>
      <c r="E158" s="1" t="s">
        <v>1</v>
      </c>
      <c r="F158" s="34" t="s">
        <v>27</v>
      </c>
      <c r="G158" s="24"/>
      <c r="H158" s="1" t="s">
        <v>1</v>
      </c>
      <c r="I158" s="7" t="s">
        <v>28</v>
      </c>
      <c r="J158" s="1" t="s">
        <v>1</v>
      </c>
      <c r="K158" s="7" t="s">
        <v>1</v>
      </c>
      <c r="L158" s="1" t="s">
        <v>1</v>
      </c>
      <c r="M158" s="7" t="s">
        <v>19</v>
      </c>
      <c r="N158" s="1" t="s">
        <v>1</v>
      </c>
      <c r="O158" s="34" t="s">
        <v>1</v>
      </c>
      <c r="P158" s="24"/>
      <c r="Q158" s="1" t="s">
        <v>1</v>
      </c>
      <c r="R158" s="7" t="s">
        <v>1</v>
      </c>
      <c r="S158" s="1" t="s">
        <v>1</v>
      </c>
      <c r="T158" s="34" t="s">
        <v>1</v>
      </c>
      <c r="U158" s="24"/>
      <c r="X158" t="e">
        <f>VLOOKUP(A158,'Ark1'!A:C,1,FALSE)</f>
        <v>#N/A</v>
      </c>
      <c r="Y158" t="e">
        <f>VLOOKUP(A158,'Ark1'!A:B,2,FALSE)</f>
        <v>#N/A</v>
      </c>
    </row>
    <row r="159" spans="1:25" x14ac:dyDescent="0.25">
      <c r="A159" s="12">
        <v>8453</v>
      </c>
      <c r="B159" s="9" t="s">
        <v>321</v>
      </c>
      <c r="C159" s="1" t="s">
        <v>1</v>
      </c>
      <c r="D159" s="9" t="s">
        <v>140</v>
      </c>
      <c r="E159" s="1" t="s">
        <v>1</v>
      </c>
      <c r="F159" s="36" t="s">
        <v>27</v>
      </c>
      <c r="G159" s="24"/>
      <c r="H159" s="1" t="s">
        <v>1</v>
      </c>
      <c r="I159" s="9" t="s">
        <v>28</v>
      </c>
      <c r="J159" s="1" t="s">
        <v>1</v>
      </c>
      <c r="K159" s="9" t="s">
        <v>1</v>
      </c>
      <c r="L159" s="1" t="s">
        <v>1</v>
      </c>
      <c r="M159" s="9" t="s">
        <v>19</v>
      </c>
      <c r="N159" s="1" t="s">
        <v>1</v>
      </c>
      <c r="O159" s="36" t="s">
        <v>1</v>
      </c>
      <c r="P159" s="24"/>
      <c r="Q159" s="1" t="s">
        <v>1</v>
      </c>
      <c r="R159" s="9" t="s">
        <v>1</v>
      </c>
      <c r="S159" s="1" t="s">
        <v>1</v>
      </c>
      <c r="T159" s="36" t="s">
        <v>1</v>
      </c>
      <c r="U159" s="24"/>
      <c r="X159" t="e">
        <f>VLOOKUP(A159,'Ark1'!A:C,1,FALSE)</f>
        <v>#N/A</v>
      </c>
      <c r="Y159" t="e">
        <f>VLOOKUP(A159,'Ark1'!A:B,2,FALSE)</f>
        <v>#N/A</v>
      </c>
    </row>
    <row r="160" spans="1:25" x14ac:dyDescent="0.25">
      <c r="A160" s="10">
        <v>8499</v>
      </c>
      <c r="B160" s="5" t="s">
        <v>322</v>
      </c>
      <c r="C160" s="6" t="s">
        <v>1</v>
      </c>
      <c r="D160" s="5" t="s">
        <v>140</v>
      </c>
      <c r="E160" s="6" t="s">
        <v>1</v>
      </c>
      <c r="F160" s="33" t="s">
        <v>36</v>
      </c>
      <c r="G160" s="24"/>
      <c r="H160" s="1" t="s">
        <v>1</v>
      </c>
      <c r="I160" s="7" t="s">
        <v>1</v>
      </c>
      <c r="J160" s="6" t="s">
        <v>1</v>
      </c>
      <c r="K160" s="5" t="s">
        <v>323</v>
      </c>
      <c r="L160" s="6" t="s">
        <v>1</v>
      </c>
      <c r="M160" s="5" t="s">
        <v>19</v>
      </c>
      <c r="N160" s="6" t="s">
        <v>1</v>
      </c>
      <c r="O160" s="33" t="s">
        <v>1</v>
      </c>
      <c r="P160" s="24"/>
      <c r="Q160" s="6" t="s">
        <v>1</v>
      </c>
      <c r="R160" s="5" t="s">
        <v>1</v>
      </c>
      <c r="S160" s="1" t="s">
        <v>1</v>
      </c>
      <c r="T160" s="34" t="s">
        <v>20</v>
      </c>
      <c r="U160" s="24"/>
      <c r="X160" t="e">
        <f>VLOOKUP(A160,'Ark1'!A:C,1,FALSE)</f>
        <v>#N/A</v>
      </c>
      <c r="Y160" t="e">
        <f>VLOOKUP(A160,'Ark1'!A:B,2,FALSE)</f>
        <v>#N/A</v>
      </c>
    </row>
    <row r="161" spans="1:25" x14ac:dyDescent="0.25">
      <c r="A161" s="1" t="s">
        <v>1</v>
      </c>
      <c r="B161" s="1" t="s">
        <v>1</v>
      </c>
      <c r="C161" s="1" t="s">
        <v>1</v>
      </c>
      <c r="D161" s="1" t="s">
        <v>1</v>
      </c>
      <c r="E161" s="1" t="s">
        <v>1</v>
      </c>
      <c r="F161" s="32" t="s">
        <v>1</v>
      </c>
      <c r="G161" s="24"/>
      <c r="H161" s="1" t="s">
        <v>1</v>
      </c>
      <c r="I161" s="1" t="s">
        <v>1</v>
      </c>
      <c r="J161" s="1" t="s">
        <v>1</v>
      </c>
      <c r="K161" s="1" t="s">
        <v>1</v>
      </c>
      <c r="L161" s="1" t="s">
        <v>1</v>
      </c>
      <c r="M161" s="1" t="s">
        <v>1</v>
      </c>
      <c r="N161" s="1" t="s">
        <v>1</v>
      </c>
      <c r="O161" s="32" t="s">
        <v>1</v>
      </c>
      <c r="P161" s="24"/>
      <c r="Q161" s="1" t="s">
        <v>1</v>
      </c>
      <c r="R161" s="1" t="s">
        <v>1</v>
      </c>
      <c r="S161" s="1" t="s">
        <v>1</v>
      </c>
      <c r="T161" s="32" t="s">
        <v>1</v>
      </c>
      <c r="U161" s="24"/>
      <c r="X161" t="e">
        <f>VLOOKUP(A161,'Ark1'!A:C,1,FALSE)</f>
        <v>#N/A</v>
      </c>
      <c r="Y161" t="e">
        <f>VLOOKUP(A161,'Ark1'!A:B,2,FALSE)</f>
        <v>#N/A</v>
      </c>
    </row>
    <row r="162" spans="1:25" x14ac:dyDescent="0.25">
      <c r="A162" s="12">
        <v>8710</v>
      </c>
      <c r="B162" s="9" t="s">
        <v>324</v>
      </c>
      <c r="C162" s="1" t="s">
        <v>1</v>
      </c>
      <c r="D162" s="9" t="s">
        <v>140</v>
      </c>
      <c r="E162" s="1" t="s">
        <v>1</v>
      </c>
      <c r="F162" s="36" t="s">
        <v>27</v>
      </c>
      <c r="G162" s="24"/>
      <c r="H162" s="1" t="s">
        <v>1</v>
      </c>
      <c r="I162" s="9" t="s">
        <v>28</v>
      </c>
      <c r="J162" s="1" t="s">
        <v>1</v>
      </c>
      <c r="K162" s="9" t="s">
        <v>1</v>
      </c>
      <c r="L162" s="1" t="s">
        <v>1</v>
      </c>
      <c r="M162" s="9" t="s">
        <v>19</v>
      </c>
      <c r="N162" s="1" t="s">
        <v>1</v>
      </c>
      <c r="O162" s="36" t="s">
        <v>1</v>
      </c>
      <c r="P162" s="24"/>
      <c r="Q162" s="1" t="s">
        <v>1</v>
      </c>
      <c r="R162" s="9" t="s">
        <v>1</v>
      </c>
      <c r="S162" s="1" t="s">
        <v>1</v>
      </c>
      <c r="T162" s="36" t="s">
        <v>1</v>
      </c>
      <c r="U162" s="24"/>
      <c r="X162" t="e">
        <f>VLOOKUP(A162,'Ark1'!A:C,1,FALSE)</f>
        <v>#N/A</v>
      </c>
      <c r="Y162" t="e">
        <f>VLOOKUP(A162,'Ark1'!A:B,2,FALSE)</f>
        <v>#N/A</v>
      </c>
    </row>
    <row r="163" spans="1:25" x14ac:dyDescent="0.25">
      <c r="A163" s="13">
        <v>8750</v>
      </c>
      <c r="B163" s="7" t="s">
        <v>325</v>
      </c>
      <c r="C163" s="1" t="s">
        <v>1</v>
      </c>
      <c r="D163" s="7" t="s">
        <v>140</v>
      </c>
      <c r="E163" s="1" t="s">
        <v>1</v>
      </c>
      <c r="F163" s="34" t="s">
        <v>27</v>
      </c>
      <c r="G163" s="24"/>
      <c r="H163" s="1" t="s">
        <v>1</v>
      </c>
      <c r="I163" s="7" t="s">
        <v>28</v>
      </c>
      <c r="J163" s="1" t="s">
        <v>1</v>
      </c>
      <c r="K163" s="7" t="s">
        <v>1</v>
      </c>
      <c r="L163" s="1" t="s">
        <v>1</v>
      </c>
      <c r="M163" s="7" t="s">
        <v>19</v>
      </c>
      <c r="N163" s="1" t="s">
        <v>1</v>
      </c>
      <c r="O163" s="34" t="s">
        <v>1</v>
      </c>
      <c r="P163" s="24"/>
      <c r="Q163" s="1" t="s">
        <v>1</v>
      </c>
      <c r="R163" s="7" t="s">
        <v>1</v>
      </c>
      <c r="S163" s="1" t="s">
        <v>1</v>
      </c>
      <c r="T163" s="34" t="s">
        <v>1</v>
      </c>
      <c r="U163" s="24"/>
      <c r="X163" t="e">
        <f>VLOOKUP(A163,'Ark1'!A:C,1,FALSE)</f>
        <v>#N/A</v>
      </c>
      <c r="Y163" t="e">
        <f>VLOOKUP(A163,'Ark1'!A:B,2,FALSE)</f>
        <v>#N/A</v>
      </c>
    </row>
    <row r="164" spans="1:25" x14ac:dyDescent="0.25">
      <c r="A164" s="11">
        <v>8900</v>
      </c>
      <c r="B164" s="8" t="s">
        <v>326</v>
      </c>
      <c r="C164" s="6" t="s">
        <v>1</v>
      </c>
      <c r="D164" s="8" t="s">
        <v>140</v>
      </c>
      <c r="E164" s="6" t="s">
        <v>1</v>
      </c>
      <c r="F164" s="35" t="s">
        <v>109</v>
      </c>
      <c r="G164" s="24"/>
      <c r="H164" s="1" t="s">
        <v>1</v>
      </c>
      <c r="I164" s="9" t="s">
        <v>1</v>
      </c>
      <c r="J164" s="6" t="s">
        <v>1</v>
      </c>
      <c r="K164" s="8" t="s">
        <v>327</v>
      </c>
      <c r="L164" s="6" t="s">
        <v>1</v>
      </c>
      <c r="M164" s="8" t="s">
        <v>19</v>
      </c>
      <c r="N164" s="6" t="s">
        <v>1</v>
      </c>
      <c r="O164" s="35" t="s">
        <v>1</v>
      </c>
      <c r="P164" s="24"/>
      <c r="Q164" s="6" t="s">
        <v>1</v>
      </c>
      <c r="R164" s="8" t="s">
        <v>1</v>
      </c>
      <c r="S164" s="1" t="s">
        <v>1</v>
      </c>
      <c r="T164" s="36" t="s">
        <v>20</v>
      </c>
      <c r="U164" s="24"/>
      <c r="X164" t="e">
        <f>VLOOKUP(A164,'Ark1'!A:C,1,FALSE)</f>
        <v>#N/A</v>
      </c>
      <c r="Y164" t="e">
        <f>VLOOKUP(A164,'Ark1'!A:B,2,FALSE)</f>
        <v>#N/A</v>
      </c>
    </row>
    <row r="165" spans="1:25" x14ac:dyDescent="0.25">
      <c r="A165" s="1" t="s">
        <v>1</v>
      </c>
      <c r="B165" s="1" t="s">
        <v>1</v>
      </c>
      <c r="C165" s="1" t="s">
        <v>1</v>
      </c>
      <c r="D165" s="1" t="s">
        <v>1</v>
      </c>
      <c r="E165" s="1" t="s">
        <v>1</v>
      </c>
      <c r="F165" s="32" t="s">
        <v>1</v>
      </c>
      <c r="G165" s="24"/>
      <c r="H165" s="1" t="s">
        <v>1</v>
      </c>
      <c r="I165" s="1" t="s">
        <v>1</v>
      </c>
      <c r="J165" s="1" t="s">
        <v>1</v>
      </c>
      <c r="K165" s="1" t="s">
        <v>1</v>
      </c>
      <c r="L165" s="1" t="s">
        <v>1</v>
      </c>
      <c r="M165" s="1" t="s">
        <v>1</v>
      </c>
      <c r="N165" s="1" t="s">
        <v>1</v>
      </c>
      <c r="O165" s="32" t="s">
        <v>1</v>
      </c>
      <c r="P165" s="24"/>
      <c r="Q165" s="1" t="s">
        <v>1</v>
      </c>
      <c r="R165" s="1" t="s">
        <v>1</v>
      </c>
      <c r="S165" s="1" t="s">
        <v>1</v>
      </c>
      <c r="T165" s="32" t="s">
        <v>1</v>
      </c>
      <c r="U165" s="24"/>
      <c r="X165" t="e">
        <f>VLOOKUP(A165,'Ark1'!A:C,1,FALSE)</f>
        <v>#N/A</v>
      </c>
      <c r="Y165" t="e">
        <f>VLOOKUP(A165,'Ark1'!A:B,2,FALSE)</f>
        <v>#N/A</v>
      </c>
    </row>
    <row r="166" spans="1:25" x14ac:dyDescent="0.25">
      <c r="A166" s="13">
        <v>8910</v>
      </c>
      <c r="B166" s="7" t="s">
        <v>328</v>
      </c>
      <c r="C166" s="1" t="s">
        <v>1</v>
      </c>
      <c r="D166" s="7" t="s">
        <v>140</v>
      </c>
      <c r="E166" s="1" t="s">
        <v>1</v>
      </c>
      <c r="F166" s="34" t="s">
        <v>27</v>
      </c>
      <c r="G166" s="24"/>
      <c r="H166" s="1" t="s">
        <v>1</v>
      </c>
      <c r="I166" s="7" t="s">
        <v>28</v>
      </c>
      <c r="J166" s="1" t="s">
        <v>1</v>
      </c>
      <c r="K166" s="7" t="s">
        <v>1</v>
      </c>
      <c r="L166" s="1" t="s">
        <v>1</v>
      </c>
      <c r="M166" s="7" t="s">
        <v>19</v>
      </c>
      <c r="N166" s="1" t="s">
        <v>1</v>
      </c>
      <c r="O166" s="34" t="s">
        <v>1</v>
      </c>
      <c r="P166" s="24"/>
      <c r="Q166" s="1" t="s">
        <v>1</v>
      </c>
      <c r="R166" s="7" t="s">
        <v>1</v>
      </c>
      <c r="S166" s="1" t="s">
        <v>1</v>
      </c>
      <c r="T166" s="34" t="s">
        <v>1</v>
      </c>
      <c r="U166" s="24"/>
      <c r="X166" t="e">
        <f>VLOOKUP(A166,'Ark1'!A:C,1,FALSE)</f>
        <v>#N/A</v>
      </c>
      <c r="Y166" t="e">
        <f>VLOOKUP(A166,'Ark1'!A:B,2,FALSE)</f>
        <v>#N/A</v>
      </c>
    </row>
    <row r="167" spans="1:25" x14ac:dyDescent="0.25">
      <c r="A167" s="11">
        <v>8999</v>
      </c>
      <c r="B167" s="8" t="s">
        <v>329</v>
      </c>
      <c r="C167" s="6" t="s">
        <v>1</v>
      </c>
      <c r="D167" s="8" t="s">
        <v>17</v>
      </c>
      <c r="E167" s="6" t="s">
        <v>1</v>
      </c>
      <c r="F167" s="35" t="s">
        <v>109</v>
      </c>
      <c r="G167" s="24"/>
      <c r="H167" s="1" t="s">
        <v>1</v>
      </c>
      <c r="I167" s="9" t="s">
        <v>1</v>
      </c>
      <c r="J167" s="6" t="s">
        <v>1</v>
      </c>
      <c r="K167" s="8" t="s">
        <v>330</v>
      </c>
      <c r="L167" s="6" t="s">
        <v>1</v>
      </c>
      <c r="M167" s="8" t="s">
        <v>19</v>
      </c>
      <c r="N167" s="6" t="s">
        <v>1</v>
      </c>
      <c r="O167" s="35" t="s">
        <v>1</v>
      </c>
      <c r="P167" s="24"/>
      <c r="Q167" s="6" t="s">
        <v>1</v>
      </c>
      <c r="R167" s="8" t="s">
        <v>1</v>
      </c>
      <c r="S167" s="1" t="s">
        <v>1</v>
      </c>
      <c r="T167" s="36" t="s">
        <v>20</v>
      </c>
      <c r="U167" s="24"/>
      <c r="X167" t="e">
        <f>VLOOKUP(A167,'Ark1'!A:C,1,FALSE)</f>
        <v>#N/A</v>
      </c>
      <c r="Y167" t="e">
        <f>VLOOKUP(A167,'Ark1'!A:B,2,FALSE)</f>
        <v>#N/A</v>
      </c>
    </row>
    <row r="168" spans="1:25" x14ac:dyDescent="0.25">
      <c r="X168" t="e">
        <f>VLOOKUP(A168,'Ark1'!A:C,1,FALSE)</f>
        <v>#N/A</v>
      </c>
      <c r="Y168" t="e">
        <f>VLOOKUP(A168,'Ark1'!A:B,2,FALSE)</f>
        <v>#N/A</v>
      </c>
    </row>
  </sheetData>
  <mergeCells count="473">
    <mergeCell ref="F167:G167"/>
    <mergeCell ref="O167:P167"/>
    <mergeCell ref="T167:U167"/>
    <mergeCell ref="F165:G165"/>
    <mergeCell ref="O165:P165"/>
    <mergeCell ref="T165:U165"/>
    <mergeCell ref="F166:G166"/>
    <mergeCell ref="O166:P166"/>
    <mergeCell ref="T166:U166"/>
    <mergeCell ref="F163:G163"/>
    <mergeCell ref="O163:P163"/>
    <mergeCell ref="T163:U163"/>
    <mergeCell ref="F164:G164"/>
    <mergeCell ref="O164:P164"/>
    <mergeCell ref="T164:U164"/>
    <mergeCell ref="F161:G161"/>
    <mergeCell ref="O161:P161"/>
    <mergeCell ref="T161:U161"/>
    <mergeCell ref="F162:G162"/>
    <mergeCell ref="O162:P162"/>
    <mergeCell ref="T162:U162"/>
    <mergeCell ref="F159:G159"/>
    <mergeCell ref="O159:P159"/>
    <mergeCell ref="T159:U159"/>
    <mergeCell ref="F160:G160"/>
    <mergeCell ref="O160:P160"/>
    <mergeCell ref="T160:U160"/>
    <mergeCell ref="F157:G157"/>
    <mergeCell ref="O157:P157"/>
    <mergeCell ref="T157:U157"/>
    <mergeCell ref="F158:G158"/>
    <mergeCell ref="O158:P158"/>
    <mergeCell ref="T158:U158"/>
    <mergeCell ref="F155:G155"/>
    <mergeCell ref="O155:P155"/>
    <mergeCell ref="T155:U155"/>
    <mergeCell ref="F156:G156"/>
    <mergeCell ref="O156:P156"/>
    <mergeCell ref="T156:U156"/>
    <mergeCell ref="F153:G153"/>
    <mergeCell ref="O153:P153"/>
    <mergeCell ref="T153:U153"/>
    <mergeCell ref="F154:G154"/>
    <mergeCell ref="O154:P154"/>
    <mergeCell ref="T154:U154"/>
    <mergeCell ref="F151:G151"/>
    <mergeCell ref="O151:P151"/>
    <mergeCell ref="T151:U151"/>
    <mergeCell ref="F152:G152"/>
    <mergeCell ref="O152:P152"/>
    <mergeCell ref="T152:U152"/>
    <mergeCell ref="F149:G149"/>
    <mergeCell ref="O149:P149"/>
    <mergeCell ref="T149:U149"/>
    <mergeCell ref="F150:G150"/>
    <mergeCell ref="O150:P150"/>
    <mergeCell ref="T150:U150"/>
    <mergeCell ref="F147:G147"/>
    <mergeCell ref="O147:P147"/>
    <mergeCell ref="T147:U147"/>
    <mergeCell ref="F148:G148"/>
    <mergeCell ref="O148:P148"/>
    <mergeCell ref="T148:U148"/>
    <mergeCell ref="F145:G145"/>
    <mergeCell ref="O145:P145"/>
    <mergeCell ref="T145:U145"/>
    <mergeCell ref="F146:G146"/>
    <mergeCell ref="O146:P146"/>
    <mergeCell ref="T146:U146"/>
    <mergeCell ref="F143:G143"/>
    <mergeCell ref="O143:P143"/>
    <mergeCell ref="T143:U143"/>
    <mergeCell ref="F144:G144"/>
    <mergeCell ref="O144:P144"/>
    <mergeCell ref="T144:U144"/>
    <mergeCell ref="F141:G141"/>
    <mergeCell ref="O141:P141"/>
    <mergeCell ref="T141:U141"/>
    <mergeCell ref="F142:G142"/>
    <mergeCell ref="O142:P142"/>
    <mergeCell ref="T142:U142"/>
    <mergeCell ref="F139:G139"/>
    <mergeCell ref="O139:P139"/>
    <mergeCell ref="T139:U139"/>
    <mergeCell ref="F140:G140"/>
    <mergeCell ref="O140:P140"/>
    <mergeCell ref="T140:U140"/>
    <mergeCell ref="F137:G137"/>
    <mergeCell ref="O137:P137"/>
    <mergeCell ref="T137:U137"/>
    <mergeCell ref="F138:G138"/>
    <mergeCell ref="O138:P138"/>
    <mergeCell ref="T138:U138"/>
    <mergeCell ref="F135:G135"/>
    <mergeCell ref="O135:P135"/>
    <mergeCell ref="T135:U135"/>
    <mergeCell ref="F136:G136"/>
    <mergeCell ref="O136:P136"/>
    <mergeCell ref="T136:U136"/>
    <mergeCell ref="F133:G133"/>
    <mergeCell ref="O133:P133"/>
    <mergeCell ref="T133:U133"/>
    <mergeCell ref="F134:G134"/>
    <mergeCell ref="O134:P134"/>
    <mergeCell ref="T134:U134"/>
    <mergeCell ref="F131:G131"/>
    <mergeCell ref="O131:P131"/>
    <mergeCell ref="T131:U131"/>
    <mergeCell ref="F132:G132"/>
    <mergeCell ref="O132:P132"/>
    <mergeCell ref="T132:U132"/>
    <mergeCell ref="F129:G129"/>
    <mergeCell ref="O129:P129"/>
    <mergeCell ref="T129:U129"/>
    <mergeCell ref="F130:G130"/>
    <mergeCell ref="O130:P130"/>
    <mergeCell ref="T130:U130"/>
    <mergeCell ref="F127:G127"/>
    <mergeCell ref="O127:P127"/>
    <mergeCell ref="T127:U127"/>
    <mergeCell ref="F128:G128"/>
    <mergeCell ref="O128:P128"/>
    <mergeCell ref="T128:U128"/>
    <mergeCell ref="F125:G125"/>
    <mergeCell ref="O125:P125"/>
    <mergeCell ref="T125:U125"/>
    <mergeCell ref="F126:G126"/>
    <mergeCell ref="O126:P126"/>
    <mergeCell ref="T126:U126"/>
    <mergeCell ref="F123:G123"/>
    <mergeCell ref="O123:P123"/>
    <mergeCell ref="T123:U123"/>
    <mergeCell ref="F124:G124"/>
    <mergeCell ref="O124:P124"/>
    <mergeCell ref="T124:U124"/>
    <mergeCell ref="F121:G121"/>
    <mergeCell ref="O121:P121"/>
    <mergeCell ref="T121:U121"/>
    <mergeCell ref="F122:G122"/>
    <mergeCell ref="O122:P122"/>
    <mergeCell ref="T122:U122"/>
    <mergeCell ref="F119:G119"/>
    <mergeCell ref="O119:P119"/>
    <mergeCell ref="T119:U119"/>
    <mergeCell ref="F120:G120"/>
    <mergeCell ref="O120:P120"/>
    <mergeCell ref="T120:U120"/>
    <mergeCell ref="F117:G117"/>
    <mergeCell ref="O117:P117"/>
    <mergeCell ref="T117:U117"/>
    <mergeCell ref="F118:G118"/>
    <mergeCell ref="O118:P118"/>
    <mergeCell ref="T118:U118"/>
    <mergeCell ref="F115:G115"/>
    <mergeCell ref="O115:P115"/>
    <mergeCell ref="T115:U115"/>
    <mergeCell ref="F116:G116"/>
    <mergeCell ref="O116:P116"/>
    <mergeCell ref="T116:U116"/>
    <mergeCell ref="F113:G113"/>
    <mergeCell ref="O113:P113"/>
    <mergeCell ref="T113:U113"/>
    <mergeCell ref="F114:G114"/>
    <mergeCell ref="O114:P114"/>
    <mergeCell ref="T114:U114"/>
    <mergeCell ref="F111:G111"/>
    <mergeCell ref="O111:P111"/>
    <mergeCell ref="T111:U111"/>
    <mergeCell ref="F112:G112"/>
    <mergeCell ref="O112:P112"/>
    <mergeCell ref="T112:U112"/>
    <mergeCell ref="F109:G109"/>
    <mergeCell ref="O109:P109"/>
    <mergeCell ref="T109:U109"/>
    <mergeCell ref="F110:G110"/>
    <mergeCell ref="O110:P110"/>
    <mergeCell ref="T110:U110"/>
    <mergeCell ref="F107:G107"/>
    <mergeCell ref="O107:P107"/>
    <mergeCell ref="T107:U107"/>
    <mergeCell ref="F108:G108"/>
    <mergeCell ref="O108:P108"/>
    <mergeCell ref="T108:U108"/>
    <mergeCell ref="F105:G105"/>
    <mergeCell ref="O105:P105"/>
    <mergeCell ref="T105:U105"/>
    <mergeCell ref="F106:G106"/>
    <mergeCell ref="O106:P106"/>
    <mergeCell ref="T106:U106"/>
    <mergeCell ref="F103:G103"/>
    <mergeCell ref="O103:P103"/>
    <mergeCell ref="T103:U103"/>
    <mergeCell ref="F104:G104"/>
    <mergeCell ref="O104:P104"/>
    <mergeCell ref="T104:U104"/>
    <mergeCell ref="F101:G101"/>
    <mergeCell ref="O101:P101"/>
    <mergeCell ref="T101:U101"/>
    <mergeCell ref="F102:G102"/>
    <mergeCell ref="O102:P102"/>
    <mergeCell ref="T102:U102"/>
    <mergeCell ref="F99:G99"/>
    <mergeCell ref="O99:P99"/>
    <mergeCell ref="T99:U99"/>
    <mergeCell ref="F100:G100"/>
    <mergeCell ref="O100:P100"/>
    <mergeCell ref="T100:U100"/>
    <mergeCell ref="F97:G97"/>
    <mergeCell ref="O97:P97"/>
    <mergeCell ref="T97:U97"/>
    <mergeCell ref="F98:G98"/>
    <mergeCell ref="O98:P98"/>
    <mergeCell ref="T98:U98"/>
    <mergeCell ref="F95:G95"/>
    <mergeCell ref="O95:P95"/>
    <mergeCell ref="T95:U95"/>
    <mergeCell ref="F96:G96"/>
    <mergeCell ref="O96:P96"/>
    <mergeCell ref="T96:U96"/>
    <mergeCell ref="F93:G93"/>
    <mergeCell ref="O93:P93"/>
    <mergeCell ref="T93:U93"/>
    <mergeCell ref="F94:G94"/>
    <mergeCell ref="O94:P94"/>
    <mergeCell ref="T94:U94"/>
    <mergeCell ref="F91:G91"/>
    <mergeCell ref="O91:P91"/>
    <mergeCell ref="T91:U91"/>
    <mergeCell ref="F92:G92"/>
    <mergeCell ref="O92:P92"/>
    <mergeCell ref="T92:U92"/>
    <mergeCell ref="F89:G89"/>
    <mergeCell ref="O89:P89"/>
    <mergeCell ref="T89:U89"/>
    <mergeCell ref="F90:G90"/>
    <mergeCell ref="O90:P90"/>
    <mergeCell ref="T90:U90"/>
    <mergeCell ref="F87:G87"/>
    <mergeCell ref="O87:P87"/>
    <mergeCell ref="T87:U87"/>
    <mergeCell ref="F88:G88"/>
    <mergeCell ref="O88:P88"/>
    <mergeCell ref="T88:U88"/>
    <mergeCell ref="F85:G85"/>
    <mergeCell ref="O85:P85"/>
    <mergeCell ref="T85:U85"/>
    <mergeCell ref="F86:G86"/>
    <mergeCell ref="O86:P86"/>
    <mergeCell ref="T86:U86"/>
    <mergeCell ref="F83:G83"/>
    <mergeCell ref="O83:P83"/>
    <mergeCell ref="T83:U83"/>
    <mergeCell ref="F84:G84"/>
    <mergeCell ref="O84:P84"/>
    <mergeCell ref="T84:U84"/>
    <mergeCell ref="F81:G81"/>
    <mergeCell ref="O81:P81"/>
    <mergeCell ref="T81:U81"/>
    <mergeCell ref="F82:G82"/>
    <mergeCell ref="O82:P82"/>
    <mergeCell ref="T82:U82"/>
    <mergeCell ref="F79:G79"/>
    <mergeCell ref="O79:P79"/>
    <mergeCell ref="T79:U79"/>
    <mergeCell ref="F80:G80"/>
    <mergeCell ref="O80:P80"/>
    <mergeCell ref="T80:U80"/>
    <mergeCell ref="F77:G77"/>
    <mergeCell ref="O77:P77"/>
    <mergeCell ref="T77:U77"/>
    <mergeCell ref="F78:G78"/>
    <mergeCell ref="O78:P78"/>
    <mergeCell ref="T78:U78"/>
    <mergeCell ref="F75:G75"/>
    <mergeCell ref="O75:P75"/>
    <mergeCell ref="T75:U75"/>
    <mergeCell ref="F76:G76"/>
    <mergeCell ref="O76:P76"/>
    <mergeCell ref="T76:U76"/>
    <mergeCell ref="F73:G73"/>
    <mergeCell ref="O73:P73"/>
    <mergeCell ref="T73:U73"/>
    <mergeCell ref="F74:G74"/>
    <mergeCell ref="O74:P74"/>
    <mergeCell ref="T74:U74"/>
    <mergeCell ref="F71:G71"/>
    <mergeCell ref="O71:P71"/>
    <mergeCell ref="T71:U71"/>
    <mergeCell ref="F72:G72"/>
    <mergeCell ref="O72:P72"/>
    <mergeCell ref="T72:U72"/>
    <mergeCell ref="F69:G69"/>
    <mergeCell ref="O69:P69"/>
    <mergeCell ref="T69:U69"/>
    <mergeCell ref="F70:G70"/>
    <mergeCell ref="O70:P70"/>
    <mergeCell ref="T70:U70"/>
    <mergeCell ref="F67:G67"/>
    <mergeCell ref="O67:P67"/>
    <mergeCell ref="T67:U67"/>
    <mergeCell ref="F68:G68"/>
    <mergeCell ref="O68:P68"/>
    <mergeCell ref="T68:U68"/>
    <mergeCell ref="F65:G65"/>
    <mergeCell ref="O65:P65"/>
    <mergeCell ref="T65:U65"/>
    <mergeCell ref="F66:G66"/>
    <mergeCell ref="O66:P66"/>
    <mergeCell ref="T66:U66"/>
    <mergeCell ref="F63:G63"/>
    <mergeCell ref="O63:P63"/>
    <mergeCell ref="T63:U63"/>
    <mergeCell ref="F64:G64"/>
    <mergeCell ref="O64:P64"/>
    <mergeCell ref="T64:U64"/>
    <mergeCell ref="F61:G61"/>
    <mergeCell ref="O61:P61"/>
    <mergeCell ref="T61:U61"/>
    <mergeCell ref="F62:G62"/>
    <mergeCell ref="O62:P62"/>
    <mergeCell ref="T62:U62"/>
    <mergeCell ref="F59:G59"/>
    <mergeCell ref="O59:P59"/>
    <mergeCell ref="T59:U59"/>
    <mergeCell ref="F60:G60"/>
    <mergeCell ref="O60:P60"/>
    <mergeCell ref="T60:U60"/>
    <mergeCell ref="F57:G57"/>
    <mergeCell ref="O57:P57"/>
    <mergeCell ref="T57:U57"/>
    <mergeCell ref="F58:G58"/>
    <mergeCell ref="O58:P58"/>
    <mergeCell ref="T58:U58"/>
    <mergeCell ref="F55:G55"/>
    <mergeCell ref="O55:P55"/>
    <mergeCell ref="T55:U55"/>
    <mergeCell ref="F56:G56"/>
    <mergeCell ref="O56:P56"/>
    <mergeCell ref="T56:U56"/>
    <mergeCell ref="F53:G53"/>
    <mergeCell ref="O53:P53"/>
    <mergeCell ref="T53:U53"/>
    <mergeCell ref="F54:G54"/>
    <mergeCell ref="O54:P54"/>
    <mergeCell ref="T54:U54"/>
    <mergeCell ref="F51:G51"/>
    <mergeCell ref="O51:P51"/>
    <mergeCell ref="T51:U51"/>
    <mergeCell ref="F52:G52"/>
    <mergeCell ref="O52:P52"/>
    <mergeCell ref="T52:U52"/>
    <mergeCell ref="F49:G49"/>
    <mergeCell ref="O49:P49"/>
    <mergeCell ref="T49:U49"/>
    <mergeCell ref="F50:G50"/>
    <mergeCell ref="O50:P50"/>
    <mergeCell ref="T50:U50"/>
    <mergeCell ref="F47:G47"/>
    <mergeCell ref="O47:P47"/>
    <mergeCell ref="T47:U47"/>
    <mergeCell ref="F48:G48"/>
    <mergeCell ref="O48:P48"/>
    <mergeCell ref="T48:U48"/>
    <mergeCell ref="F45:G45"/>
    <mergeCell ref="O45:P45"/>
    <mergeCell ref="T45:U45"/>
    <mergeCell ref="F46:G46"/>
    <mergeCell ref="O46:P46"/>
    <mergeCell ref="T46:U46"/>
    <mergeCell ref="F43:G43"/>
    <mergeCell ref="O43:P43"/>
    <mergeCell ref="T43:U43"/>
    <mergeCell ref="F44:G44"/>
    <mergeCell ref="O44:P44"/>
    <mergeCell ref="T44:U44"/>
    <mergeCell ref="F41:G41"/>
    <mergeCell ref="O41:P41"/>
    <mergeCell ref="T41:U41"/>
    <mergeCell ref="F42:G42"/>
    <mergeCell ref="O42:P42"/>
    <mergeCell ref="T42:U42"/>
    <mergeCell ref="F39:G39"/>
    <mergeCell ref="O39:P39"/>
    <mergeCell ref="T39:U39"/>
    <mergeCell ref="F40:G40"/>
    <mergeCell ref="O40:P40"/>
    <mergeCell ref="T40:U40"/>
    <mergeCell ref="F37:G37"/>
    <mergeCell ref="O37:P37"/>
    <mergeCell ref="T37:U37"/>
    <mergeCell ref="F38:G38"/>
    <mergeCell ref="O38:P38"/>
    <mergeCell ref="T38:U38"/>
    <mergeCell ref="F35:G35"/>
    <mergeCell ref="O35:P35"/>
    <mergeCell ref="T35:U35"/>
    <mergeCell ref="F36:G36"/>
    <mergeCell ref="O36:P36"/>
    <mergeCell ref="T36:U36"/>
    <mergeCell ref="F33:G33"/>
    <mergeCell ref="O33:P33"/>
    <mergeCell ref="T33:U33"/>
    <mergeCell ref="F34:G34"/>
    <mergeCell ref="O34:P34"/>
    <mergeCell ref="T34:U34"/>
    <mergeCell ref="F31:G31"/>
    <mergeCell ref="O31:P31"/>
    <mergeCell ref="T31:U31"/>
    <mergeCell ref="F32:G32"/>
    <mergeCell ref="O32:P32"/>
    <mergeCell ref="T32:U32"/>
    <mergeCell ref="F29:G29"/>
    <mergeCell ref="O29:P29"/>
    <mergeCell ref="T29:U29"/>
    <mergeCell ref="F30:G30"/>
    <mergeCell ref="O30:P30"/>
    <mergeCell ref="T30:U30"/>
    <mergeCell ref="F27:G27"/>
    <mergeCell ref="O27:P27"/>
    <mergeCell ref="T27:U27"/>
    <mergeCell ref="F28:G28"/>
    <mergeCell ref="O28:P28"/>
    <mergeCell ref="T28:U28"/>
    <mergeCell ref="F25:G25"/>
    <mergeCell ref="O25:P25"/>
    <mergeCell ref="T25:U25"/>
    <mergeCell ref="F26:G26"/>
    <mergeCell ref="O26:P26"/>
    <mergeCell ref="T26:U26"/>
    <mergeCell ref="F23:G23"/>
    <mergeCell ref="O23:P23"/>
    <mergeCell ref="T23:U23"/>
    <mergeCell ref="F24:G24"/>
    <mergeCell ref="O24:P24"/>
    <mergeCell ref="T24:U24"/>
    <mergeCell ref="F21:G21"/>
    <mergeCell ref="O21:P21"/>
    <mergeCell ref="T21:U21"/>
    <mergeCell ref="F22:G22"/>
    <mergeCell ref="O22:P22"/>
    <mergeCell ref="T22:U22"/>
    <mergeCell ref="F19:G19"/>
    <mergeCell ref="O19:P19"/>
    <mergeCell ref="T19:U19"/>
    <mergeCell ref="F20:G20"/>
    <mergeCell ref="O20:P20"/>
    <mergeCell ref="T20:U20"/>
    <mergeCell ref="F17:G17"/>
    <mergeCell ref="O17:P17"/>
    <mergeCell ref="T17:U17"/>
    <mergeCell ref="F18:G18"/>
    <mergeCell ref="O18:P18"/>
    <mergeCell ref="T18:U18"/>
    <mergeCell ref="F16:G16"/>
    <mergeCell ref="O16:P16"/>
    <mergeCell ref="T16:U16"/>
    <mergeCell ref="A12:F12"/>
    <mergeCell ref="F13:G13"/>
    <mergeCell ref="O13:P13"/>
    <mergeCell ref="T13:U13"/>
    <mergeCell ref="F14:G14"/>
    <mergeCell ref="O14:P14"/>
    <mergeCell ref="T14:U14"/>
    <mergeCell ref="A1:F4"/>
    <mergeCell ref="P1:T1"/>
    <mergeCell ref="P3:T3"/>
    <mergeCell ref="P4:T5"/>
    <mergeCell ref="A5:F7"/>
    <mergeCell ref="P7:T9"/>
    <mergeCell ref="A8:F10"/>
    <mergeCell ref="F15:G15"/>
    <mergeCell ref="O15:P15"/>
    <mergeCell ref="T15:U15"/>
  </mergeCells>
  <pageMargins left="0.39370078740157499" right="0.39370078740157499" top="0.39370078740157499" bottom="0.39370078740157499" header="0.39370078740157499" footer="0.39370078740157499"/>
  <pageSetup paperSize="9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329F-AB14-4436-BB21-BB084610B5EE}">
  <dimension ref="A1:D179"/>
  <sheetViews>
    <sheetView topLeftCell="A78" workbookViewId="0">
      <selection activeCell="B111" sqref="B111"/>
    </sheetView>
  </sheetViews>
  <sheetFormatPr defaultRowHeight="15" x14ac:dyDescent="0.25"/>
  <cols>
    <col min="1" max="1" width="35.85546875" bestFit="1" customWidth="1"/>
    <col min="2" max="2" width="49" bestFit="1" customWidth="1"/>
    <col min="3" max="3" width="12.140625" bestFit="1" customWidth="1"/>
  </cols>
  <sheetData>
    <row r="1" spans="1:4" x14ac:dyDescent="0.25">
      <c r="A1" t="s">
        <v>331</v>
      </c>
    </row>
    <row r="2" spans="1:4" x14ac:dyDescent="0.25">
      <c r="A2">
        <v>3051</v>
      </c>
      <c r="B2" t="s">
        <v>332</v>
      </c>
      <c r="C2" t="s">
        <v>333</v>
      </c>
      <c r="D2">
        <f>VLOOKUP(A2,Sheet2!A:G,1,FALSE)</f>
        <v>3051</v>
      </c>
    </row>
    <row r="3" spans="1:4" x14ac:dyDescent="0.25">
      <c r="A3">
        <v>3052</v>
      </c>
      <c r="B3" t="s">
        <v>334</v>
      </c>
      <c r="C3" t="s">
        <v>335</v>
      </c>
      <c r="D3" t="e">
        <f>VLOOKUP(A3,Sheet2!A:G,1,FALSE)</f>
        <v>#N/A</v>
      </c>
    </row>
    <row r="4" spans="1:4" x14ac:dyDescent="0.25">
      <c r="A4">
        <v>3072</v>
      </c>
      <c r="B4" t="s">
        <v>336</v>
      </c>
      <c r="C4">
        <v>0</v>
      </c>
      <c r="D4" t="e">
        <f>VLOOKUP(A4,Sheet2!A:G,1,FALSE)</f>
        <v>#N/A</v>
      </c>
    </row>
    <row r="5" spans="1:4" x14ac:dyDescent="0.25">
      <c r="A5">
        <v>3075</v>
      </c>
      <c r="B5" t="s">
        <v>337</v>
      </c>
      <c r="C5">
        <v>0</v>
      </c>
      <c r="D5">
        <f>VLOOKUP(A5,Sheet2!A:G,1,FALSE)</f>
        <v>3075</v>
      </c>
    </row>
    <row r="6" spans="1:4" x14ac:dyDescent="0.25">
      <c r="A6">
        <v>3078</v>
      </c>
      <c r="B6" t="s">
        <v>338</v>
      </c>
      <c r="C6">
        <v>0</v>
      </c>
      <c r="D6" t="e">
        <f>VLOOKUP(A6,Sheet2!A:G,1,FALSE)</f>
        <v>#N/A</v>
      </c>
    </row>
    <row r="7" spans="1:4" x14ac:dyDescent="0.25">
      <c r="A7">
        <v>3520</v>
      </c>
      <c r="B7" t="s">
        <v>339</v>
      </c>
      <c r="C7">
        <v>0</v>
      </c>
      <c r="D7" t="e">
        <f>VLOOKUP(A7,Sheet2!A:G,1,FALSE)</f>
        <v>#N/A</v>
      </c>
    </row>
    <row r="8" spans="1:4" x14ac:dyDescent="0.25">
      <c r="A8">
        <v>3740</v>
      </c>
      <c r="B8" t="s">
        <v>340</v>
      </c>
      <c r="C8">
        <v>78.569999999999993</v>
      </c>
      <c r="D8">
        <f>VLOOKUP(A8,Sheet2!A:G,1,FALSE)</f>
        <v>3740</v>
      </c>
    </row>
    <row r="9" spans="1:4" x14ac:dyDescent="0.25">
      <c r="A9" t="s">
        <v>341</v>
      </c>
      <c r="C9" t="s">
        <v>342</v>
      </c>
      <c r="D9" t="e">
        <f>VLOOKUP(A9,Sheet2!A:G,1,FALSE)</f>
        <v>#N/A</v>
      </c>
    </row>
    <row r="10" spans="1:4" x14ac:dyDescent="0.25">
      <c r="A10" t="s">
        <v>343</v>
      </c>
      <c r="D10" t="e">
        <f>VLOOKUP(A10,Sheet2!A:G,1,FALSE)</f>
        <v>#N/A</v>
      </c>
    </row>
    <row r="11" spans="1:4" x14ac:dyDescent="0.25">
      <c r="A11">
        <v>3902</v>
      </c>
      <c r="B11" t="s">
        <v>344</v>
      </c>
      <c r="C11">
        <v>0</v>
      </c>
      <c r="D11" t="e">
        <f>VLOOKUP(A11,Sheet2!A:G,1,FALSE)</f>
        <v>#N/A</v>
      </c>
    </row>
    <row r="12" spans="1:4" x14ac:dyDescent="0.25">
      <c r="A12">
        <v>3950</v>
      </c>
      <c r="B12" t="s">
        <v>345</v>
      </c>
      <c r="C12" t="s">
        <v>346</v>
      </c>
      <c r="D12" t="e">
        <f>VLOOKUP(A12,Sheet2!A:G,1,FALSE)</f>
        <v>#N/A</v>
      </c>
    </row>
    <row r="13" spans="1:4" x14ac:dyDescent="0.25">
      <c r="A13">
        <v>3961</v>
      </c>
      <c r="B13" t="s">
        <v>347</v>
      </c>
      <c r="C13">
        <v>0</v>
      </c>
      <c r="D13" t="e">
        <f>VLOOKUP(A13,Sheet2!A:G,1,FALSE)</f>
        <v>#N/A</v>
      </c>
    </row>
    <row r="14" spans="1:4" x14ac:dyDescent="0.25">
      <c r="A14" t="s">
        <v>348</v>
      </c>
      <c r="C14" t="s">
        <v>346</v>
      </c>
      <c r="D14" t="e">
        <f>VLOOKUP(A14,Sheet2!A:G,1,FALSE)</f>
        <v>#N/A</v>
      </c>
    </row>
    <row r="15" spans="1:4" x14ac:dyDescent="0.25">
      <c r="A15" t="s">
        <v>349</v>
      </c>
      <c r="C15" t="s">
        <v>350</v>
      </c>
      <c r="D15" t="e">
        <f>VLOOKUP(A15,Sheet2!A:G,1,FALSE)</f>
        <v>#N/A</v>
      </c>
    </row>
    <row r="16" spans="1:4" x14ac:dyDescent="0.25">
      <c r="A16" t="s">
        <v>351</v>
      </c>
      <c r="D16" t="e">
        <f>VLOOKUP(A16,Sheet2!A:G,1,FALSE)</f>
        <v>#N/A</v>
      </c>
    </row>
    <row r="17" spans="1:4" x14ac:dyDescent="0.25">
      <c r="A17" t="s">
        <v>352</v>
      </c>
      <c r="D17" t="e">
        <f>VLOOKUP(A17,Sheet2!A:G,1,FALSE)</f>
        <v>#N/A</v>
      </c>
    </row>
    <row r="18" spans="1:4" x14ac:dyDescent="0.25">
      <c r="A18">
        <v>4000</v>
      </c>
      <c r="B18" t="s">
        <v>353</v>
      </c>
      <c r="C18">
        <v>0</v>
      </c>
      <c r="D18">
        <f>VLOOKUP(A18,Sheet2!A:G,1,FALSE)</f>
        <v>4000</v>
      </c>
    </row>
    <row r="19" spans="1:4" x14ac:dyDescent="0.25">
      <c r="A19">
        <v>4010</v>
      </c>
      <c r="B19" t="s">
        <v>354</v>
      </c>
      <c r="C19" t="s">
        <v>355</v>
      </c>
      <c r="D19" t="e">
        <f>VLOOKUP(A19,Sheet2!A:G,1,FALSE)</f>
        <v>#N/A</v>
      </c>
    </row>
    <row r="20" spans="1:4" x14ac:dyDescent="0.25">
      <c r="A20">
        <v>4043</v>
      </c>
      <c r="B20" t="s">
        <v>356</v>
      </c>
      <c r="C20" t="s">
        <v>357</v>
      </c>
      <c r="D20" t="e">
        <f>VLOOKUP(A20,Sheet2!A:G,1,FALSE)</f>
        <v>#N/A</v>
      </c>
    </row>
    <row r="21" spans="1:4" x14ac:dyDescent="0.25">
      <c r="A21">
        <v>4050</v>
      </c>
      <c r="B21" t="s">
        <v>358</v>
      </c>
      <c r="C21" t="s">
        <v>359</v>
      </c>
      <c r="D21" t="e">
        <f>VLOOKUP(A21,Sheet2!A:G,1,FALSE)</f>
        <v>#N/A</v>
      </c>
    </row>
    <row r="22" spans="1:4" x14ac:dyDescent="0.25">
      <c r="A22">
        <v>4056</v>
      </c>
      <c r="B22" t="s">
        <v>360</v>
      </c>
      <c r="C22" t="s">
        <v>361</v>
      </c>
      <c r="D22">
        <f>VLOOKUP(A22,Sheet2!A:G,1,FALSE)</f>
        <v>4056</v>
      </c>
    </row>
    <row r="23" spans="1:4" x14ac:dyDescent="0.25">
      <c r="A23">
        <v>4402</v>
      </c>
      <c r="B23" t="s">
        <v>362</v>
      </c>
      <c r="C23" t="s">
        <v>363</v>
      </c>
      <c r="D23" t="e">
        <f>VLOOKUP(A23,Sheet2!A:G,1,FALSE)</f>
        <v>#N/A</v>
      </c>
    </row>
    <row r="24" spans="1:4" x14ac:dyDescent="0.25">
      <c r="A24">
        <v>4543</v>
      </c>
      <c r="B24" t="s">
        <v>364</v>
      </c>
      <c r="C24" t="s">
        <v>365</v>
      </c>
      <c r="D24" t="e">
        <f>VLOOKUP(A24,Sheet2!A:G,1,FALSE)</f>
        <v>#N/A</v>
      </c>
    </row>
    <row r="25" spans="1:4" x14ac:dyDescent="0.25">
      <c r="A25">
        <v>4549</v>
      </c>
      <c r="B25" t="s">
        <v>366</v>
      </c>
      <c r="C25" t="s">
        <v>367</v>
      </c>
      <c r="D25" t="e">
        <f>VLOOKUP(A25,Sheet2!A:G,1,FALSE)</f>
        <v>#N/A</v>
      </c>
    </row>
    <row r="26" spans="1:4" x14ac:dyDescent="0.25">
      <c r="A26" t="s">
        <v>368</v>
      </c>
      <c r="C26" t="s">
        <v>369</v>
      </c>
      <c r="D26" t="e">
        <f>VLOOKUP(A26,Sheet2!A:G,1,FALSE)</f>
        <v>#N/A</v>
      </c>
    </row>
    <row r="27" spans="1:4" x14ac:dyDescent="0.25">
      <c r="A27" t="s">
        <v>370</v>
      </c>
      <c r="C27" t="s">
        <v>371</v>
      </c>
      <c r="D27" t="e">
        <f>VLOOKUP(A27,Sheet2!A:G,1,FALSE)</f>
        <v>#N/A</v>
      </c>
    </row>
    <row r="28" spans="1:4" x14ac:dyDescent="0.25">
      <c r="A28" t="s">
        <v>372</v>
      </c>
      <c r="D28" t="e">
        <f>VLOOKUP(A28,Sheet2!A:G,1,FALSE)</f>
        <v>#N/A</v>
      </c>
    </row>
    <row r="29" spans="1:4" x14ac:dyDescent="0.25">
      <c r="A29">
        <v>5011</v>
      </c>
      <c r="B29" t="s">
        <v>373</v>
      </c>
      <c r="C29">
        <v>0</v>
      </c>
      <c r="D29" t="e">
        <f>VLOOKUP(A29,Sheet2!A:G,1,FALSE)</f>
        <v>#N/A</v>
      </c>
    </row>
    <row r="30" spans="1:4" x14ac:dyDescent="0.25">
      <c r="A30">
        <v>5020</v>
      </c>
      <c r="B30" t="s">
        <v>374</v>
      </c>
      <c r="C30" t="s">
        <v>375</v>
      </c>
      <c r="D30" t="e">
        <f>VLOOKUP(A30,Sheet2!A:G,1,FALSE)</f>
        <v>#N/A</v>
      </c>
    </row>
    <row r="31" spans="1:4" x14ac:dyDescent="0.25">
      <c r="A31">
        <v>5061</v>
      </c>
      <c r="B31" t="s">
        <v>376</v>
      </c>
      <c r="C31" t="s">
        <v>377</v>
      </c>
      <c r="D31" t="e">
        <f>VLOOKUP(A31,Sheet2!A:G,1,FALSE)</f>
        <v>#N/A</v>
      </c>
    </row>
    <row r="32" spans="1:4" x14ac:dyDescent="0.25">
      <c r="A32">
        <v>5062</v>
      </c>
      <c r="B32" t="s">
        <v>378</v>
      </c>
      <c r="C32" t="s">
        <v>379</v>
      </c>
      <c r="D32" t="e">
        <f>VLOOKUP(A32,Sheet2!A:G,1,FALSE)</f>
        <v>#N/A</v>
      </c>
    </row>
    <row r="33" spans="1:4" x14ac:dyDescent="0.25">
      <c r="A33">
        <v>5090</v>
      </c>
      <c r="B33" t="s">
        <v>380</v>
      </c>
      <c r="C33" t="s">
        <v>381</v>
      </c>
      <c r="D33" t="e">
        <f>VLOOKUP(A33,Sheet2!A:G,1,FALSE)</f>
        <v>#N/A</v>
      </c>
    </row>
    <row r="34" spans="1:4" x14ac:dyDescent="0.25">
      <c r="A34">
        <v>5422</v>
      </c>
      <c r="B34" t="s">
        <v>382</v>
      </c>
      <c r="C34">
        <v>0</v>
      </c>
      <c r="D34" t="e">
        <f>VLOOKUP(A34,Sheet2!A:G,1,FALSE)</f>
        <v>#N/A</v>
      </c>
    </row>
    <row r="35" spans="1:4" x14ac:dyDescent="0.25">
      <c r="A35">
        <v>5423</v>
      </c>
      <c r="B35" t="s">
        <v>383</v>
      </c>
      <c r="C35" t="s">
        <v>384</v>
      </c>
      <c r="D35" t="e">
        <f>VLOOKUP(A35,Sheet2!A:G,1,FALSE)</f>
        <v>#N/A</v>
      </c>
    </row>
    <row r="36" spans="1:4" x14ac:dyDescent="0.25">
      <c r="A36">
        <v>5460</v>
      </c>
      <c r="B36" t="s">
        <v>385</v>
      </c>
      <c r="C36" t="s">
        <v>386</v>
      </c>
      <c r="D36" t="e">
        <f>VLOOKUP(A36,Sheet2!A:G,1,FALSE)</f>
        <v>#N/A</v>
      </c>
    </row>
    <row r="37" spans="1:4" x14ac:dyDescent="0.25">
      <c r="A37">
        <v>5480</v>
      </c>
      <c r="B37" t="s">
        <v>387</v>
      </c>
      <c r="C37">
        <v>0</v>
      </c>
      <c r="D37" t="e">
        <f>VLOOKUP(A37,Sheet2!A:G,1,FALSE)</f>
        <v>#N/A</v>
      </c>
    </row>
    <row r="38" spans="1:4" x14ac:dyDescent="0.25">
      <c r="A38">
        <v>5611</v>
      </c>
      <c r="B38" t="s">
        <v>388</v>
      </c>
      <c r="C38">
        <v>-913.27</v>
      </c>
      <c r="D38">
        <f>VLOOKUP(A38,Sheet2!A:G,1,FALSE)</f>
        <v>5611</v>
      </c>
    </row>
    <row r="39" spans="1:4" x14ac:dyDescent="0.25">
      <c r="A39">
        <v>5612</v>
      </c>
      <c r="B39" t="s">
        <v>389</v>
      </c>
      <c r="C39" t="s">
        <v>390</v>
      </c>
      <c r="D39">
        <f>VLOOKUP(A39,Sheet2!A:G,1,FALSE)</f>
        <v>5612</v>
      </c>
    </row>
    <row r="40" spans="1:4" x14ac:dyDescent="0.25">
      <c r="A40">
        <v>5619</v>
      </c>
      <c r="B40" t="s">
        <v>391</v>
      </c>
      <c r="C40">
        <v>0</v>
      </c>
      <c r="D40" t="e">
        <f>VLOOKUP(A40,Sheet2!A:G,1,FALSE)</f>
        <v>#N/A</v>
      </c>
    </row>
    <row r="41" spans="1:4" x14ac:dyDescent="0.25">
      <c r="A41">
        <v>5700</v>
      </c>
      <c r="B41" t="s">
        <v>392</v>
      </c>
      <c r="C41" t="s">
        <v>393</v>
      </c>
      <c r="D41" t="e">
        <f>VLOOKUP(A41,Sheet2!A:G,1,FALSE)</f>
        <v>#N/A</v>
      </c>
    </row>
    <row r="42" spans="1:4" x14ac:dyDescent="0.25">
      <c r="A42">
        <v>5800</v>
      </c>
      <c r="B42" t="s">
        <v>267</v>
      </c>
      <c r="C42" t="s">
        <v>394</v>
      </c>
      <c r="D42" t="e">
        <f>VLOOKUP(A42,Sheet2!A:G,1,FALSE)</f>
        <v>#N/A</v>
      </c>
    </row>
    <row r="43" spans="1:4" x14ac:dyDescent="0.25">
      <c r="A43">
        <v>5900</v>
      </c>
      <c r="B43" t="s">
        <v>395</v>
      </c>
      <c r="C43" t="s">
        <v>396</v>
      </c>
      <c r="D43">
        <f>VLOOKUP(A43,Sheet2!A:G,1,FALSE)</f>
        <v>5900</v>
      </c>
    </row>
    <row r="44" spans="1:4" x14ac:dyDescent="0.25">
      <c r="A44">
        <v>5901</v>
      </c>
      <c r="B44" t="s">
        <v>397</v>
      </c>
      <c r="C44" t="s">
        <v>398</v>
      </c>
      <c r="D44" t="e">
        <f>VLOOKUP(A44,Sheet2!A:G,1,FALSE)</f>
        <v>#N/A</v>
      </c>
    </row>
    <row r="45" spans="1:4" x14ac:dyDescent="0.25">
      <c r="A45">
        <v>5973</v>
      </c>
      <c r="B45" t="s">
        <v>399</v>
      </c>
      <c r="C45" t="s">
        <v>400</v>
      </c>
      <c r="D45" t="e">
        <f>VLOOKUP(A45,Sheet2!A:G,1,FALSE)</f>
        <v>#N/A</v>
      </c>
    </row>
    <row r="46" spans="1:4" x14ac:dyDescent="0.25">
      <c r="A46">
        <v>6212</v>
      </c>
      <c r="B46" t="s">
        <v>401</v>
      </c>
      <c r="C46" t="s">
        <v>402</v>
      </c>
      <c r="D46" t="e">
        <f>VLOOKUP(A46,Sheet2!A:G,1,FALSE)</f>
        <v>#N/A</v>
      </c>
    </row>
    <row r="47" spans="1:4" x14ac:dyDescent="0.25">
      <c r="A47">
        <v>6231</v>
      </c>
      <c r="B47" t="s">
        <v>403</v>
      </c>
      <c r="C47" t="s">
        <v>361</v>
      </c>
      <c r="D47" t="e">
        <f>VLOOKUP(A47,Sheet2!A:G,1,FALSE)</f>
        <v>#N/A</v>
      </c>
    </row>
    <row r="48" spans="1:4" x14ac:dyDescent="0.25">
      <c r="A48">
        <v>6234</v>
      </c>
      <c r="B48" t="s">
        <v>404</v>
      </c>
      <c r="C48" t="s">
        <v>405</v>
      </c>
      <c r="D48" t="e">
        <f>VLOOKUP(A48,Sheet2!A:G,1,FALSE)</f>
        <v>#N/A</v>
      </c>
    </row>
    <row r="49" spans="1:4" x14ac:dyDescent="0.25">
      <c r="A49">
        <v>6310</v>
      </c>
      <c r="B49" t="s">
        <v>406</v>
      </c>
      <c r="C49" t="s">
        <v>407</v>
      </c>
      <c r="D49" t="e">
        <f>VLOOKUP(A49,Sheet2!A:G,1,FALSE)</f>
        <v>#N/A</v>
      </c>
    </row>
    <row r="50" spans="1:4" x14ac:dyDescent="0.25">
      <c r="A50">
        <v>6420</v>
      </c>
      <c r="B50" t="s">
        <v>408</v>
      </c>
      <c r="C50">
        <v>0</v>
      </c>
      <c r="D50">
        <f>VLOOKUP(A50,Sheet2!A:G,1,FALSE)</f>
        <v>6420</v>
      </c>
    </row>
    <row r="51" spans="1:4" x14ac:dyDescent="0.25">
      <c r="A51">
        <v>6530</v>
      </c>
      <c r="B51" t="s">
        <v>409</v>
      </c>
      <c r="C51" t="s">
        <v>410</v>
      </c>
      <c r="D51" t="e">
        <f>VLOOKUP(A51,Sheet2!A:G,1,FALSE)</f>
        <v>#N/A</v>
      </c>
    </row>
    <row r="52" spans="1:4" x14ac:dyDescent="0.25">
      <c r="A52">
        <v>6570</v>
      </c>
      <c r="B52" t="s">
        <v>411</v>
      </c>
      <c r="C52">
        <v>0</v>
      </c>
      <c r="D52" t="e">
        <f>VLOOKUP(A52,Sheet2!A:G,1,FALSE)</f>
        <v>#N/A</v>
      </c>
    </row>
    <row r="53" spans="1:4" x14ac:dyDescent="0.25">
      <c r="A53">
        <v>6800</v>
      </c>
      <c r="B53" t="s">
        <v>412</v>
      </c>
      <c r="C53">
        <v>0</v>
      </c>
      <c r="D53" t="e">
        <f>VLOOKUP(A53,Sheet2!A:G,1,FALSE)</f>
        <v>#N/A</v>
      </c>
    </row>
    <row r="54" spans="1:4" x14ac:dyDescent="0.25">
      <c r="A54">
        <v>6950</v>
      </c>
      <c r="B54" t="s">
        <v>413</v>
      </c>
      <c r="C54" t="s">
        <v>414</v>
      </c>
      <c r="D54" t="e">
        <f>VLOOKUP(A54,Sheet2!A:G,1,FALSE)</f>
        <v>#N/A</v>
      </c>
    </row>
    <row r="55" spans="1:4" x14ac:dyDescent="0.25">
      <c r="A55">
        <v>6991</v>
      </c>
      <c r="B55" t="s">
        <v>415</v>
      </c>
      <c r="C55">
        <v>0</v>
      </c>
      <c r="D55" t="e">
        <f>VLOOKUP(A55,Sheet2!A:G,1,FALSE)</f>
        <v>#N/A</v>
      </c>
    </row>
    <row r="56" spans="1:4" x14ac:dyDescent="0.25">
      <c r="A56">
        <v>6992</v>
      </c>
      <c r="B56" t="s">
        <v>416</v>
      </c>
      <c r="C56">
        <v>0</v>
      </c>
      <c r="D56" t="e">
        <f>VLOOKUP(A56,Sheet2!A:G,1,FALSE)</f>
        <v>#N/A</v>
      </c>
    </row>
    <row r="57" spans="1:4" x14ac:dyDescent="0.25">
      <c r="A57" t="s">
        <v>417</v>
      </c>
      <c r="C57" t="s">
        <v>418</v>
      </c>
      <c r="D57" t="e">
        <f>VLOOKUP(A57,Sheet2!A:G,1,FALSE)</f>
        <v>#N/A</v>
      </c>
    </row>
    <row r="58" spans="1:4" x14ac:dyDescent="0.25">
      <c r="A58" t="s">
        <v>419</v>
      </c>
      <c r="D58" t="e">
        <f>VLOOKUP(A58,Sheet2!A:G,1,FALSE)</f>
        <v>#N/A</v>
      </c>
    </row>
    <row r="59" spans="1:4" x14ac:dyDescent="0.25">
      <c r="A59">
        <v>7010</v>
      </c>
      <c r="B59" t="s">
        <v>420</v>
      </c>
      <c r="C59" t="s">
        <v>421</v>
      </c>
      <c r="D59">
        <f>VLOOKUP(A59,Sheet2!A:G,1,FALSE)</f>
        <v>7010</v>
      </c>
    </row>
    <row r="60" spans="1:4" x14ac:dyDescent="0.25">
      <c r="A60">
        <v>7011</v>
      </c>
      <c r="B60" t="s">
        <v>422</v>
      </c>
      <c r="C60" t="s">
        <v>423</v>
      </c>
      <c r="D60" t="e">
        <f>VLOOKUP(A60,Sheet2!A:G,1,FALSE)</f>
        <v>#N/A</v>
      </c>
    </row>
    <row r="61" spans="1:4" x14ac:dyDescent="0.25">
      <c r="A61">
        <v>7081</v>
      </c>
      <c r="B61" t="s">
        <v>424</v>
      </c>
      <c r="C61" t="s">
        <v>425</v>
      </c>
      <c r="D61" t="e">
        <f>VLOOKUP(A61,Sheet2!A:G,1,FALSE)</f>
        <v>#N/A</v>
      </c>
    </row>
    <row r="62" spans="1:4" x14ac:dyDescent="0.25">
      <c r="A62">
        <v>7082</v>
      </c>
      <c r="B62" t="s">
        <v>426</v>
      </c>
      <c r="C62" t="s">
        <v>427</v>
      </c>
      <c r="D62" t="e">
        <f>VLOOKUP(A62,Sheet2!A:G,1,FALSE)</f>
        <v>#N/A</v>
      </c>
    </row>
    <row r="63" spans="1:4" x14ac:dyDescent="0.25">
      <c r="A63">
        <v>7090</v>
      </c>
      <c r="B63" t="s">
        <v>428</v>
      </c>
      <c r="C63" t="s">
        <v>429</v>
      </c>
      <c r="D63" t="e">
        <f>VLOOKUP(A63,Sheet2!A:G,1,FALSE)</f>
        <v>#N/A</v>
      </c>
    </row>
    <row r="64" spans="1:4" x14ac:dyDescent="0.25">
      <c r="A64">
        <v>7210</v>
      </c>
      <c r="B64" t="s">
        <v>430</v>
      </c>
      <c r="C64" t="s">
        <v>431</v>
      </c>
      <c r="D64">
        <f>VLOOKUP(A64,Sheet2!A:G,1,FALSE)</f>
        <v>7210</v>
      </c>
    </row>
    <row r="65" spans="1:4" x14ac:dyDescent="0.25">
      <c r="A65">
        <v>7281</v>
      </c>
      <c r="B65" t="s">
        <v>432</v>
      </c>
      <c r="C65">
        <v>0</v>
      </c>
      <c r="D65" t="e">
        <f>VLOOKUP(A65,Sheet2!A:G,1,FALSE)</f>
        <v>#N/A</v>
      </c>
    </row>
    <row r="66" spans="1:4" x14ac:dyDescent="0.25">
      <c r="A66">
        <v>7285</v>
      </c>
      <c r="B66" t="s">
        <v>433</v>
      </c>
      <c r="C66">
        <v>0</v>
      </c>
      <c r="D66" t="e">
        <f>VLOOKUP(A66,Sheet2!A:G,1,FALSE)</f>
        <v>#N/A</v>
      </c>
    </row>
    <row r="67" spans="1:4" x14ac:dyDescent="0.25">
      <c r="A67">
        <v>7290</v>
      </c>
      <c r="B67" t="s">
        <v>434</v>
      </c>
      <c r="C67" t="s">
        <v>435</v>
      </c>
      <c r="D67" t="e">
        <f>VLOOKUP(A67,Sheet2!A:G,1,FALSE)</f>
        <v>#N/A</v>
      </c>
    </row>
    <row r="68" spans="1:4" x14ac:dyDescent="0.25">
      <c r="A68">
        <v>7321</v>
      </c>
      <c r="B68" t="s">
        <v>436</v>
      </c>
      <c r="C68">
        <v>0</v>
      </c>
      <c r="D68" t="e">
        <f>VLOOKUP(A68,Sheet2!A:G,1,FALSE)</f>
        <v>#N/A</v>
      </c>
    </row>
    <row r="69" spans="1:4" x14ac:dyDescent="0.25">
      <c r="A69">
        <v>7331</v>
      </c>
      <c r="B69" t="s">
        <v>437</v>
      </c>
      <c r="C69">
        <v>0</v>
      </c>
      <c r="D69" t="e">
        <f>VLOOKUP(A69,Sheet2!A:G,1,FALSE)</f>
        <v>#N/A</v>
      </c>
    </row>
    <row r="70" spans="1:4" x14ac:dyDescent="0.25">
      <c r="A70">
        <v>7390</v>
      </c>
      <c r="B70" t="s">
        <v>438</v>
      </c>
      <c r="C70">
        <v>0</v>
      </c>
      <c r="D70" t="e">
        <f>VLOOKUP(A70,Sheet2!A:G,1,FALSE)</f>
        <v>#N/A</v>
      </c>
    </row>
    <row r="71" spans="1:4" x14ac:dyDescent="0.25">
      <c r="A71">
        <v>7398</v>
      </c>
      <c r="B71" t="s">
        <v>439</v>
      </c>
      <c r="C71">
        <v>0</v>
      </c>
      <c r="D71" t="e">
        <f>VLOOKUP(A71,Sheet2!A:G,1,FALSE)</f>
        <v>#N/A</v>
      </c>
    </row>
    <row r="72" spans="1:4" x14ac:dyDescent="0.25">
      <c r="A72">
        <v>7399</v>
      </c>
      <c r="B72" t="s">
        <v>440</v>
      </c>
      <c r="C72">
        <v>0</v>
      </c>
      <c r="D72" t="e">
        <f>VLOOKUP(A72,Sheet2!A:G,1,FALSE)</f>
        <v>#N/A</v>
      </c>
    </row>
    <row r="73" spans="1:4" x14ac:dyDescent="0.25">
      <c r="A73">
        <v>7410</v>
      </c>
      <c r="B73" t="s">
        <v>441</v>
      </c>
      <c r="C73">
        <v>0</v>
      </c>
      <c r="D73" t="e">
        <f>VLOOKUP(A73,Sheet2!A:G,1,FALSE)</f>
        <v>#N/A</v>
      </c>
    </row>
    <row r="74" spans="1:4" x14ac:dyDescent="0.25">
      <c r="A74">
        <v>7414</v>
      </c>
      <c r="B74" t="s">
        <v>442</v>
      </c>
      <c r="C74">
        <v>0</v>
      </c>
      <c r="D74" t="e">
        <f>VLOOKUP(A74,Sheet2!A:G,1,FALSE)</f>
        <v>#N/A</v>
      </c>
    </row>
    <row r="75" spans="1:4" x14ac:dyDescent="0.25">
      <c r="A75">
        <v>7490</v>
      </c>
      <c r="B75" t="s">
        <v>443</v>
      </c>
      <c r="C75" t="s">
        <v>444</v>
      </c>
      <c r="D75" t="e">
        <f>VLOOKUP(A75,Sheet2!A:G,1,FALSE)</f>
        <v>#N/A</v>
      </c>
    </row>
    <row r="76" spans="1:4" x14ac:dyDescent="0.25">
      <c r="A76">
        <v>7510</v>
      </c>
      <c r="B76" t="s">
        <v>445</v>
      </c>
      <c r="C76" t="s">
        <v>446</v>
      </c>
      <c r="D76" t="e">
        <f>VLOOKUP(A76,Sheet2!A:G,1,FALSE)</f>
        <v>#N/A</v>
      </c>
    </row>
    <row r="77" spans="1:4" x14ac:dyDescent="0.25">
      <c r="A77">
        <v>7519</v>
      </c>
      <c r="B77" t="s">
        <v>447</v>
      </c>
      <c r="C77" t="s">
        <v>448</v>
      </c>
      <c r="D77" t="e">
        <f>VLOOKUP(A77,Sheet2!A:G,1,FALSE)</f>
        <v>#N/A</v>
      </c>
    </row>
    <row r="78" spans="1:4" x14ac:dyDescent="0.25">
      <c r="A78">
        <v>7533</v>
      </c>
      <c r="B78" t="s">
        <v>449</v>
      </c>
      <c r="C78">
        <v>0</v>
      </c>
      <c r="D78" t="e">
        <f>VLOOKUP(A78,Sheet2!A:G,1,FALSE)</f>
        <v>#N/A</v>
      </c>
    </row>
    <row r="79" spans="1:4" x14ac:dyDescent="0.25">
      <c r="A79">
        <v>7690</v>
      </c>
      <c r="B79" t="s">
        <v>450</v>
      </c>
      <c r="C79">
        <v>0</v>
      </c>
      <c r="D79" t="e">
        <f>VLOOKUP(A79,Sheet2!A:G,1,FALSE)</f>
        <v>#N/A</v>
      </c>
    </row>
    <row r="80" spans="1:4" x14ac:dyDescent="0.25">
      <c r="A80" t="s">
        <v>451</v>
      </c>
      <c r="C80" t="s">
        <v>452</v>
      </c>
      <c r="D80" t="e">
        <f>VLOOKUP(A80,Sheet2!A:G,1,FALSE)</f>
        <v>#N/A</v>
      </c>
    </row>
    <row r="81" spans="1:4" x14ac:dyDescent="0.25">
      <c r="A81" t="s">
        <v>453</v>
      </c>
      <c r="D81" t="e">
        <f>VLOOKUP(A81,Sheet2!A:G,1,FALSE)</f>
        <v>#N/A</v>
      </c>
    </row>
    <row r="82" spans="1:4" x14ac:dyDescent="0.25">
      <c r="A82">
        <v>7832</v>
      </c>
      <c r="B82" t="s">
        <v>454</v>
      </c>
      <c r="C82">
        <v>0</v>
      </c>
      <c r="D82" t="e">
        <f>VLOOKUP(A82,Sheet2!A:G,1,FALSE)</f>
        <v>#N/A</v>
      </c>
    </row>
    <row r="83" spans="1:4" x14ac:dyDescent="0.25">
      <c r="A83">
        <v>7834</v>
      </c>
      <c r="B83" t="s">
        <v>455</v>
      </c>
      <c r="C83" t="s">
        <v>456</v>
      </c>
      <c r="D83">
        <f>VLOOKUP(A83,Sheet2!A:G,1,FALSE)</f>
        <v>7834</v>
      </c>
    </row>
    <row r="84" spans="1:4" x14ac:dyDescent="0.25">
      <c r="A84">
        <v>7835</v>
      </c>
      <c r="B84" t="s">
        <v>457</v>
      </c>
      <c r="C84" t="s">
        <v>458</v>
      </c>
      <c r="D84" t="e">
        <f>VLOOKUP(A84,Sheet2!A:G,1,FALSE)</f>
        <v>#N/A</v>
      </c>
    </row>
    <row r="85" spans="1:4" x14ac:dyDescent="0.25">
      <c r="A85">
        <v>7840</v>
      </c>
      <c r="B85" t="s">
        <v>459</v>
      </c>
      <c r="C85">
        <v>0</v>
      </c>
      <c r="D85" t="e">
        <f>VLOOKUP(A85,Sheet2!A:G,1,FALSE)</f>
        <v>#N/A</v>
      </c>
    </row>
    <row r="86" spans="1:4" x14ac:dyDescent="0.25">
      <c r="A86" t="s">
        <v>460</v>
      </c>
      <c r="C86" t="s">
        <v>461</v>
      </c>
      <c r="D86" t="e">
        <f>VLOOKUP(A86,Sheet2!A:G,1,FALSE)</f>
        <v>#N/A</v>
      </c>
    </row>
    <row r="87" spans="1:4" x14ac:dyDescent="0.25">
      <c r="A87" t="s">
        <v>308</v>
      </c>
      <c r="D87" t="e">
        <f>VLOOKUP(A87,Sheet2!A:G,1,FALSE)</f>
        <v>#N/A</v>
      </c>
    </row>
    <row r="88" spans="1:4" x14ac:dyDescent="0.25">
      <c r="A88">
        <v>7962</v>
      </c>
      <c r="B88" t="s">
        <v>462</v>
      </c>
      <c r="C88">
        <v>-557.39</v>
      </c>
      <c r="D88" t="e">
        <f>VLOOKUP(A88,Sheet2!A:G,1,FALSE)</f>
        <v>#N/A</v>
      </c>
    </row>
    <row r="89" spans="1:4" x14ac:dyDescent="0.25">
      <c r="A89" t="s">
        <v>463</v>
      </c>
      <c r="C89">
        <v>-557.39</v>
      </c>
      <c r="D89" t="e">
        <f>VLOOKUP(A89,Sheet2!A:G,1,FALSE)</f>
        <v>#N/A</v>
      </c>
    </row>
    <row r="90" spans="1:4" x14ac:dyDescent="0.25">
      <c r="A90" t="s">
        <v>464</v>
      </c>
      <c r="C90" t="s">
        <v>465</v>
      </c>
      <c r="D90" t="e">
        <f>VLOOKUP(A90,Sheet2!A:G,1,FALSE)</f>
        <v>#N/A</v>
      </c>
    </row>
    <row r="91" spans="1:4" x14ac:dyDescent="0.25">
      <c r="A91" t="s">
        <v>466</v>
      </c>
      <c r="D91" t="e">
        <f>VLOOKUP(A91,Sheet2!A:G,1,FALSE)</f>
        <v>#N/A</v>
      </c>
    </row>
    <row r="92" spans="1:4" x14ac:dyDescent="0.25">
      <c r="A92">
        <v>8314</v>
      </c>
      <c r="B92" t="s">
        <v>467</v>
      </c>
      <c r="C92">
        <v>0</v>
      </c>
      <c r="D92" t="e">
        <f>VLOOKUP(A92,Sheet2!A:G,1,FALSE)</f>
        <v>#N/A</v>
      </c>
    </row>
    <row r="93" spans="1:4" x14ac:dyDescent="0.25">
      <c r="A93">
        <v>8422</v>
      </c>
      <c r="B93" t="s">
        <v>468</v>
      </c>
      <c r="C93">
        <v>0</v>
      </c>
      <c r="D93">
        <f>VLOOKUP(A93,Sheet2!A:G,1,FALSE)</f>
        <v>8422</v>
      </c>
    </row>
    <row r="94" spans="1:4" x14ac:dyDescent="0.25">
      <c r="A94">
        <v>8423</v>
      </c>
      <c r="B94" t="s">
        <v>469</v>
      </c>
      <c r="C94" t="s">
        <v>470</v>
      </c>
      <c r="D94" t="e">
        <f>VLOOKUP(A94,Sheet2!A:G,1,FALSE)</f>
        <v>#N/A</v>
      </c>
    </row>
    <row r="95" spans="1:4" x14ac:dyDescent="0.25">
      <c r="A95" t="s">
        <v>471</v>
      </c>
      <c r="C95" t="s">
        <v>470</v>
      </c>
      <c r="D95" t="e">
        <f>VLOOKUP(A95,Sheet2!A:G,1,FALSE)</f>
        <v>#N/A</v>
      </c>
    </row>
    <row r="96" spans="1:4" x14ac:dyDescent="0.25">
      <c r="D96" t="e">
        <f>VLOOKUP(A96,Sheet2!A:G,1,FALSE)</f>
        <v>#N/A</v>
      </c>
    </row>
    <row r="97" spans="1:4" x14ac:dyDescent="0.25">
      <c r="A97" t="s">
        <v>472</v>
      </c>
      <c r="C97" t="s">
        <v>473</v>
      </c>
      <c r="D97" t="e">
        <f>VLOOKUP(A97,Sheet2!A:G,1,FALSE)</f>
        <v>#N/A</v>
      </c>
    </row>
    <row r="98" spans="1:4" x14ac:dyDescent="0.25">
      <c r="A98" t="s">
        <v>474</v>
      </c>
      <c r="C98" t="s">
        <v>475</v>
      </c>
      <c r="D98" t="e">
        <f>VLOOKUP(A98,Sheet2!A:G,1,FALSE)</f>
        <v>#N/A</v>
      </c>
    </row>
    <row r="99" spans="1:4" x14ac:dyDescent="0.25">
      <c r="A99" t="s">
        <v>476</v>
      </c>
      <c r="C99" t="s">
        <v>473</v>
      </c>
      <c r="D99" t="e">
        <f>VLOOKUP(A99,Sheet2!A:G,1,FALSE)</f>
        <v>#N/A</v>
      </c>
    </row>
    <row r="100" spans="1:4" x14ac:dyDescent="0.25">
      <c r="A100" t="s">
        <v>477</v>
      </c>
      <c r="D100" t="e">
        <f>VLOOKUP(A100,Sheet2!A:G,1,FALSE)</f>
        <v>#N/A</v>
      </c>
    </row>
    <row r="101" spans="1:4" x14ac:dyDescent="0.25">
      <c r="A101" t="s">
        <v>478</v>
      </c>
      <c r="C101" t="s">
        <v>479</v>
      </c>
      <c r="D101" t="e">
        <f>VLOOKUP(A101,Sheet2!A:G,1,FALSE)</f>
        <v>#N/A</v>
      </c>
    </row>
    <row r="102" spans="1:4" x14ac:dyDescent="0.25">
      <c r="A102" t="s">
        <v>480</v>
      </c>
      <c r="C102" t="s">
        <v>481</v>
      </c>
      <c r="D102" t="e">
        <f>VLOOKUP(A102,Sheet2!A:G,1,FALSE)</f>
        <v>#N/A</v>
      </c>
    </row>
    <row r="103" spans="1:4" x14ac:dyDescent="0.25">
      <c r="A103" t="s">
        <v>482</v>
      </c>
      <c r="C103" t="s">
        <v>483</v>
      </c>
      <c r="D103" t="e">
        <f>VLOOKUP(A103,Sheet2!A:G,1,FALSE)</f>
        <v>#N/A</v>
      </c>
    </row>
    <row r="104" spans="1:4" x14ac:dyDescent="0.25">
      <c r="A104" t="s">
        <v>484</v>
      </c>
      <c r="D104" t="e">
        <f>VLOOKUP(A104,Sheet2!A:G,1,FALSE)</f>
        <v>#N/A</v>
      </c>
    </row>
    <row r="105" spans="1:4" x14ac:dyDescent="0.25">
      <c r="A105">
        <v>1120</v>
      </c>
      <c r="B105" t="s">
        <v>485</v>
      </c>
      <c r="C105" t="s">
        <v>486</v>
      </c>
      <c r="D105" t="e">
        <f>VLOOKUP(A105,Sheet2!A:G,1,FALSE)</f>
        <v>#N/A</v>
      </c>
    </row>
    <row r="106" spans="1:4" x14ac:dyDescent="0.25">
      <c r="A106">
        <v>1129</v>
      </c>
      <c r="B106" t="s">
        <v>487</v>
      </c>
      <c r="C106" t="s">
        <v>488</v>
      </c>
      <c r="D106" t="e">
        <f>VLOOKUP(A106,Sheet2!A:G,1,FALSE)</f>
        <v>#N/A</v>
      </c>
    </row>
    <row r="107" spans="1:4" x14ac:dyDescent="0.25">
      <c r="A107">
        <v>1210</v>
      </c>
      <c r="B107" t="s">
        <v>489</v>
      </c>
      <c r="C107" t="s">
        <v>490</v>
      </c>
      <c r="D107" t="e">
        <f>VLOOKUP(A107,Sheet2!A:G,1,FALSE)</f>
        <v>#N/A</v>
      </c>
    </row>
    <row r="108" spans="1:4" x14ac:dyDescent="0.25">
      <c r="A108">
        <v>1219</v>
      </c>
      <c r="B108" t="s">
        <v>491</v>
      </c>
      <c r="C108" t="s">
        <v>492</v>
      </c>
      <c r="D108" t="e">
        <f>VLOOKUP(A108,Sheet2!A:G,1,FALSE)</f>
        <v>#N/A</v>
      </c>
    </row>
    <row r="109" spans="1:4" x14ac:dyDescent="0.25">
      <c r="A109">
        <v>1220</v>
      </c>
      <c r="B109" t="s">
        <v>493</v>
      </c>
      <c r="C109" t="s">
        <v>494</v>
      </c>
      <c r="D109" t="e">
        <f>VLOOKUP(A109,Sheet2!A:G,1,FALSE)</f>
        <v>#N/A</v>
      </c>
    </row>
    <row r="110" spans="1:4" x14ac:dyDescent="0.25">
      <c r="A110">
        <v>1229</v>
      </c>
      <c r="B110" t="s">
        <v>495</v>
      </c>
      <c r="C110" t="s">
        <v>496</v>
      </c>
      <c r="D110" t="e">
        <f>VLOOKUP(A110,Sheet2!A:G,1,FALSE)</f>
        <v>#N/A</v>
      </c>
    </row>
    <row r="111" spans="1:4" x14ac:dyDescent="0.25">
      <c r="A111">
        <v>1240</v>
      </c>
      <c r="B111" t="s">
        <v>608</v>
      </c>
      <c r="D111" t="e">
        <f>VLOOKUP(A111,Sheet2!A:G,1,FALSE)</f>
        <v>#N/A</v>
      </c>
    </row>
    <row r="112" spans="1:4" x14ac:dyDescent="0.25">
      <c r="A112">
        <v>1249</v>
      </c>
      <c r="B112" t="s">
        <v>497</v>
      </c>
      <c r="C112" t="s">
        <v>498</v>
      </c>
      <c r="D112" t="e">
        <f>VLOOKUP(A112,Sheet2!A:G,1,FALSE)</f>
        <v>#N/A</v>
      </c>
    </row>
    <row r="113" spans="1:4" x14ac:dyDescent="0.25">
      <c r="A113" t="s">
        <v>499</v>
      </c>
      <c r="C113" t="s">
        <v>500</v>
      </c>
      <c r="D113" t="e">
        <f>VLOOKUP(A113,Sheet2!A:G,1,FALSE)</f>
        <v>#N/A</v>
      </c>
    </row>
    <row r="114" spans="1:4" x14ac:dyDescent="0.25">
      <c r="A114" t="s">
        <v>501</v>
      </c>
      <c r="D114" t="e">
        <f>VLOOKUP(A114,Sheet2!A:G,1,FALSE)</f>
        <v>#N/A</v>
      </c>
    </row>
    <row r="115" spans="1:4" x14ac:dyDescent="0.25">
      <c r="A115" t="s">
        <v>502</v>
      </c>
      <c r="C115" t="s">
        <v>503</v>
      </c>
      <c r="D115" t="e">
        <f>VLOOKUP(A115,Sheet2!A:G,1,FALSE)</f>
        <v>#N/A</v>
      </c>
    </row>
    <row r="116" spans="1:4" x14ac:dyDescent="0.25">
      <c r="A116" t="s">
        <v>504</v>
      </c>
      <c r="C116" t="s">
        <v>505</v>
      </c>
      <c r="D116" t="e">
        <f>VLOOKUP(A116,Sheet2!A:G,1,FALSE)</f>
        <v>#N/A</v>
      </c>
    </row>
    <row r="117" spans="1:4" x14ac:dyDescent="0.25">
      <c r="A117" t="s">
        <v>506</v>
      </c>
      <c r="C117" t="s">
        <v>507</v>
      </c>
      <c r="D117" t="e">
        <f>VLOOKUP(A117,Sheet2!A:G,1,FALSE)</f>
        <v>#N/A</v>
      </c>
    </row>
    <row r="118" spans="1:4" x14ac:dyDescent="0.25">
      <c r="A118" t="s">
        <v>508</v>
      </c>
      <c r="C118" t="s">
        <v>509</v>
      </c>
      <c r="D118" t="e">
        <f>VLOOKUP(A118,Sheet2!A:G,1,FALSE)</f>
        <v>#N/A</v>
      </c>
    </row>
    <row r="119" spans="1:4" x14ac:dyDescent="0.25">
      <c r="A119" t="s">
        <v>510</v>
      </c>
      <c r="D119" t="e">
        <f>VLOOKUP(A119,Sheet2!A:G,1,FALSE)</f>
        <v>#N/A</v>
      </c>
    </row>
    <row r="120" spans="1:4" x14ac:dyDescent="0.25">
      <c r="A120">
        <v>1410</v>
      </c>
      <c r="B120" t="s">
        <v>511</v>
      </c>
      <c r="C120">
        <v>0</v>
      </c>
      <c r="D120" t="e">
        <f>VLOOKUP(A120,Sheet2!A:G,1,FALSE)</f>
        <v>#N/A</v>
      </c>
    </row>
    <row r="121" spans="1:4" x14ac:dyDescent="0.25">
      <c r="A121">
        <v>1450</v>
      </c>
      <c r="B121" t="s">
        <v>512</v>
      </c>
      <c r="C121" t="s">
        <v>513</v>
      </c>
      <c r="D121" t="e">
        <f>VLOOKUP(A121,Sheet2!A:G,1,FALSE)</f>
        <v>#N/A</v>
      </c>
    </row>
    <row r="122" spans="1:4" x14ac:dyDescent="0.25">
      <c r="A122">
        <v>1460</v>
      </c>
      <c r="B122" t="s">
        <v>514</v>
      </c>
      <c r="C122" t="s">
        <v>515</v>
      </c>
      <c r="D122" t="e">
        <f>VLOOKUP(A122,Sheet2!A:G,1,FALSE)</f>
        <v>#N/A</v>
      </c>
    </row>
    <row r="123" spans="1:4" x14ac:dyDescent="0.25">
      <c r="A123">
        <v>1461</v>
      </c>
      <c r="B123" t="s">
        <v>516</v>
      </c>
      <c r="C123" t="s">
        <v>517</v>
      </c>
      <c r="D123" t="e">
        <f>VLOOKUP(A123,Sheet2!A:G,1,FALSE)</f>
        <v>#N/A</v>
      </c>
    </row>
    <row r="124" spans="1:4" x14ac:dyDescent="0.25">
      <c r="A124">
        <v>1462</v>
      </c>
      <c r="B124" t="s">
        <v>518</v>
      </c>
      <c r="C124" t="s">
        <v>519</v>
      </c>
      <c r="D124" t="e">
        <f>VLOOKUP(A124,Sheet2!A:G,1,FALSE)</f>
        <v>#N/A</v>
      </c>
    </row>
    <row r="125" spans="1:4" x14ac:dyDescent="0.25">
      <c r="A125">
        <v>1480</v>
      </c>
      <c r="B125" t="s">
        <v>520</v>
      </c>
      <c r="C125">
        <v>0</v>
      </c>
      <c r="D125" t="e">
        <f>VLOOKUP(A125,Sheet2!A:G,1,FALSE)</f>
        <v>#N/A</v>
      </c>
    </row>
    <row r="126" spans="1:4" x14ac:dyDescent="0.25">
      <c r="A126" t="s">
        <v>521</v>
      </c>
      <c r="C126" t="s">
        <v>522</v>
      </c>
      <c r="D126" t="e">
        <f>VLOOKUP(A126,Sheet2!A:G,1,FALSE)</f>
        <v>#N/A</v>
      </c>
    </row>
    <row r="127" spans="1:4" x14ac:dyDescent="0.25">
      <c r="A127" t="s">
        <v>523</v>
      </c>
      <c r="D127" t="e">
        <f>VLOOKUP(A127,Sheet2!A:G,1,FALSE)</f>
        <v>#N/A</v>
      </c>
    </row>
    <row r="128" spans="1:4" x14ac:dyDescent="0.25">
      <c r="A128">
        <v>1510</v>
      </c>
      <c r="B128" t="s">
        <v>524</v>
      </c>
      <c r="C128" t="s">
        <v>525</v>
      </c>
      <c r="D128" t="e">
        <f>VLOOKUP(A128,Sheet2!A:G,1,FALSE)</f>
        <v>#N/A</v>
      </c>
    </row>
    <row r="129" spans="1:4" x14ac:dyDescent="0.25">
      <c r="A129">
        <v>1560</v>
      </c>
      <c r="B129" t="s">
        <v>526</v>
      </c>
      <c r="C129" t="s">
        <v>527</v>
      </c>
      <c r="D129" t="e">
        <f>VLOOKUP(A129,Sheet2!A:G,1,FALSE)</f>
        <v>#N/A</v>
      </c>
    </row>
    <row r="130" spans="1:4" x14ac:dyDescent="0.25">
      <c r="A130">
        <v>1591</v>
      </c>
      <c r="B130" t="s">
        <v>528</v>
      </c>
      <c r="C130" t="s">
        <v>529</v>
      </c>
      <c r="D130" t="e">
        <f>VLOOKUP(A130,Sheet2!A:G,1,FALSE)</f>
        <v>#N/A</v>
      </c>
    </row>
    <row r="131" spans="1:4" x14ac:dyDescent="0.25">
      <c r="A131">
        <v>1593</v>
      </c>
      <c r="B131" t="s">
        <v>530</v>
      </c>
      <c r="C131" t="s">
        <v>531</v>
      </c>
      <c r="D131" t="e">
        <f>VLOOKUP(A131,Sheet2!A:G,1,FALSE)</f>
        <v>#N/A</v>
      </c>
    </row>
    <row r="132" spans="1:4" x14ac:dyDescent="0.25">
      <c r="A132">
        <v>1594</v>
      </c>
      <c r="B132" t="s">
        <v>532</v>
      </c>
      <c r="C132" t="s">
        <v>533</v>
      </c>
      <c r="D132" t="e">
        <f>VLOOKUP(A132,Sheet2!A:G,1,FALSE)</f>
        <v>#N/A</v>
      </c>
    </row>
    <row r="133" spans="1:4" x14ac:dyDescent="0.25">
      <c r="A133">
        <v>1630</v>
      </c>
      <c r="B133" t="s">
        <v>534</v>
      </c>
      <c r="C133" t="s">
        <v>535</v>
      </c>
      <c r="D133" t="e">
        <f>VLOOKUP(A133,Sheet2!A:G,1,FALSE)</f>
        <v>#N/A</v>
      </c>
    </row>
    <row r="134" spans="1:4" x14ac:dyDescent="0.25">
      <c r="A134">
        <v>1650</v>
      </c>
      <c r="B134" t="s">
        <v>536</v>
      </c>
      <c r="C134">
        <v>0</v>
      </c>
      <c r="D134" t="e">
        <f>VLOOKUP(A134,Sheet2!A:G,1,FALSE)</f>
        <v>#N/A</v>
      </c>
    </row>
    <row r="135" spans="1:4" x14ac:dyDescent="0.25">
      <c r="A135">
        <v>1680</v>
      </c>
      <c r="B135" t="s">
        <v>537</v>
      </c>
      <c r="C135" t="s">
        <v>538</v>
      </c>
      <c r="D135" t="e">
        <f>VLOOKUP(A135,Sheet2!A:G,1,FALSE)</f>
        <v>#N/A</v>
      </c>
    </row>
    <row r="136" spans="1:4" x14ac:dyDescent="0.25">
      <c r="A136">
        <v>1790</v>
      </c>
      <c r="B136" t="s">
        <v>539</v>
      </c>
      <c r="C136" t="s">
        <v>540</v>
      </c>
      <c r="D136" t="e">
        <f>VLOOKUP(A136,Sheet2!A:G,1,FALSE)</f>
        <v>#N/A</v>
      </c>
    </row>
    <row r="137" spans="1:4" x14ac:dyDescent="0.25">
      <c r="A137" t="s">
        <v>541</v>
      </c>
      <c r="C137" t="s">
        <v>542</v>
      </c>
      <c r="D137" t="e">
        <f>VLOOKUP(A137,Sheet2!A:G,1,FALSE)</f>
        <v>#N/A</v>
      </c>
    </row>
    <row r="138" spans="1:4" x14ac:dyDescent="0.25">
      <c r="D138" t="e">
        <f>VLOOKUP(A138,Sheet2!A:G,1,FALSE)</f>
        <v>#N/A</v>
      </c>
    </row>
    <row r="139" spans="1:4" x14ac:dyDescent="0.25">
      <c r="A139" t="s">
        <v>543</v>
      </c>
      <c r="D139" t="e">
        <f>VLOOKUP(A139,Sheet2!A:G,1,FALSE)</f>
        <v>#N/A</v>
      </c>
    </row>
    <row r="140" spans="1:4" x14ac:dyDescent="0.25">
      <c r="A140">
        <v>1910</v>
      </c>
      <c r="B140" t="s">
        <v>544</v>
      </c>
      <c r="C140">
        <v>377</v>
      </c>
      <c r="D140" t="e">
        <f>VLOOKUP(A140,Sheet2!A:G,1,FALSE)</f>
        <v>#N/A</v>
      </c>
    </row>
    <row r="141" spans="1:4" x14ac:dyDescent="0.25">
      <c r="A141">
        <v>1920</v>
      </c>
      <c r="B141" t="s">
        <v>545</v>
      </c>
      <c r="C141" t="s">
        <v>546</v>
      </c>
      <c r="D141" t="e">
        <f>VLOOKUP(A141,Sheet2!A:G,1,FALSE)</f>
        <v>#N/A</v>
      </c>
    </row>
    <row r="142" spans="1:4" x14ac:dyDescent="0.25">
      <c r="A142">
        <v>1925</v>
      </c>
      <c r="B142" t="s">
        <v>547</v>
      </c>
      <c r="C142" t="s">
        <v>548</v>
      </c>
      <c r="D142" t="e">
        <f>VLOOKUP(A142,Sheet2!A:G,1,FALSE)</f>
        <v>#N/A</v>
      </c>
    </row>
    <row r="143" spans="1:4" x14ac:dyDescent="0.25">
      <c r="A143">
        <v>1993</v>
      </c>
      <c r="B143" t="s">
        <v>549</v>
      </c>
      <c r="C143">
        <v>0</v>
      </c>
      <c r="D143" t="e">
        <f>VLOOKUP(A143,Sheet2!A:G,1,FALSE)</f>
        <v>#N/A</v>
      </c>
    </row>
    <row r="144" spans="1:4" x14ac:dyDescent="0.25">
      <c r="A144">
        <v>1999</v>
      </c>
      <c r="B144" t="s">
        <v>550</v>
      </c>
      <c r="C144">
        <v>0</v>
      </c>
      <c r="D144" t="e">
        <f>VLOOKUP(A144,Sheet2!A:G,1,FALSE)</f>
        <v>#N/A</v>
      </c>
    </row>
    <row r="145" spans="1:4" x14ac:dyDescent="0.25">
      <c r="A145" t="s">
        <v>551</v>
      </c>
      <c r="C145" t="s">
        <v>552</v>
      </c>
      <c r="D145" t="e">
        <f>VLOOKUP(A145,Sheet2!A:G,1,FALSE)</f>
        <v>#N/A</v>
      </c>
    </row>
    <row r="146" spans="1:4" x14ac:dyDescent="0.25">
      <c r="A146" t="s">
        <v>553</v>
      </c>
      <c r="C146" t="s">
        <v>554</v>
      </c>
      <c r="D146" t="e">
        <f>VLOOKUP(A146,Sheet2!A:G,1,FALSE)</f>
        <v>#N/A</v>
      </c>
    </row>
    <row r="147" spans="1:4" x14ac:dyDescent="0.25">
      <c r="A147" t="s">
        <v>555</v>
      </c>
      <c r="C147" t="s">
        <v>556</v>
      </c>
      <c r="D147" t="e">
        <f>VLOOKUP(A147,Sheet2!A:G,1,FALSE)</f>
        <v>#N/A</v>
      </c>
    </row>
    <row r="148" spans="1:4" x14ac:dyDescent="0.25">
      <c r="A148" t="s">
        <v>557</v>
      </c>
      <c r="D148" t="e">
        <f>VLOOKUP(A148,Sheet2!A:G,1,FALSE)</f>
        <v>#N/A</v>
      </c>
    </row>
    <row r="149" spans="1:4" x14ac:dyDescent="0.25">
      <c r="A149">
        <v>2081</v>
      </c>
      <c r="B149" t="s">
        <v>558</v>
      </c>
      <c r="C149" t="s">
        <v>559</v>
      </c>
      <c r="D149" t="e">
        <f>VLOOKUP(A149,Sheet2!A:G,1,FALSE)</f>
        <v>#N/A</v>
      </c>
    </row>
    <row r="150" spans="1:4" x14ac:dyDescent="0.25">
      <c r="A150">
        <v>2091</v>
      </c>
      <c r="B150" t="s">
        <v>560</v>
      </c>
      <c r="C150" t="s">
        <v>561</v>
      </c>
      <c r="D150" t="e">
        <f>VLOOKUP(A150,Sheet2!A:G,1,FALSE)</f>
        <v>#N/A</v>
      </c>
    </row>
    <row r="151" spans="1:4" x14ac:dyDescent="0.25">
      <c r="A151">
        <v>2093</v>
      </c>
      <c r="B151" t="s">
        <v>562</v>
      </c>
      <c r="C151" t="s">
        <v>563</v>
      </c>
      <c r="D151" t="e">
        <f>VLOOKUP(A151,Sheet2!A:G,1,FALSE)</f>
        <v>#N/A</v>
      </c>
    </row>
    <row r="152" spans="1:4" x14ac:dyDescent="0.25">
      <c r="A152">
        <v>2099</v>
      </c>
      <c r="B152" t="s">
        <v>329</v>
      </c>
      <c r="C152" t="s">
        <v>564</v>
      </c>
      <c r="D152" t="e">
        <f>VLOOKUP(A152,Sheet2!A:G,1,FALSE)</f>
        <v>#N/A</v>
      </c>
    </row>
    <row r="153" spans="1:4" x14ac:dyDescent="0.25">
      <c r="A153" t="s">
        <v>565</v>
      </c>
      <c r="C153" t="s">
        <v>566</v>
      </c>
      <c r="D153" t="e">
        <f>VLOOKUP(A153,Sheet2!A:G,1,FALSE)</f>
        <v>#N/A</v>
      </c>
    </row>
    <row r="154" spans="1:4" x14ac:dyDescent="0.25">
      <c r="A154" t="s">
        <v>567</v>
      </c>
      <c r="D154" t="e">
        <f>VLOOKUP(A154,Sheet2!A:G,1,FALSE)</f>
        <v>#N/A</v>
      </c>
    </row>
    <row r="155" spans="1:4" x14ac:dyDescent="0.25">
      <c r="A155">
        <v>2440</v>
      </c>
      <c r="B155" t="s">
        <v>568</v>
      </c>
      <c r="C155" t="s">
        <v>569</v>
      </c>
      <c r="D155" t="e">
        <f>VLOOKUP(A155,Sheet2!A:G,1,FALSE)</f>
        <v>#N/A</v>
      </c>
    </row>
    <row r="156" spans="1:4" x14ac:dyDescent="0.25">
      <c r="A156">
        <v>2441</v>
      </c>
      <c r="B156" t="s">
        <v>570</v>
      </c>
      <c r="C156" t="s">
        <v>571</v>
      </c>
      <c r="D156" t="e">
        <f>VLOOKUP(A156,Sheet2!A:G,1,FALSE)</f>
        <v>#N/A</v>
      </c>
    </row>
    <row r="157" spans="1:4" x14ac:dyDescent="0.25">
      <c r="A157">
        <v>2444</v>
      </c>
      <c r="B157" t="s">
        <v>572</v>
      </c>
      <c r="C157" t="s">
        <v>573</v>
      </c>
      <c r="D157" t="e">
        <f>VLOOKUP(A157,Sheet2!A:G,1,FALSE)</f>
        <v>#N/A</v>
      </c>
    </row>
    <row r="158" spans="1:4" x14ac:dyDescent="0.25">
      <c r="A158">
        <v>2510</v>
      </c>
      <c r="B158" t="s">
        <v>574</v>
      </c>
      <c r="C158" t="s">
        <v>575</v>
      </c>
      <c r="D158" t="e">
        <f>VLOOKUP(A158,Sheet2!A:G,1,FALSE)</f>
        <v>#N/A</v>
      </c>
    </row>
    <row r="159" spans="1:4" x14ac:dyDescent="0.25">
      <c r="A159">
        <v>2514</v>
      </c>
      <c r="B159" t="s">
        <v>576</v>
      </c>
      <c r="C159" t="s">
        <v>577</v>
      </c>
      <c r="D159" t="e">
        <f>VLOOKUP(A159,Sheet2!A:G,1,FALSE)</f>
        <v>#N/A</v>
      </c>
    </row>
    <row r="160" spans="1:4" x14ac:dyDescent="0.25">
      <c r="A160">
        <v>2610</v>
      </c>
      <c r="B160" t="s">
        <v>578</v>
      </c>
      <c r="C160">
        <v>0</v>
      </c>
      <c r="D160" t="e">
        <f>VLOOKUP(A160,Sheet2!A:G,1,FALSE)</f>
        <v>#N/A</v>
      </c>
    </row>
    <row r="161" spans="1:4" x14ac:dyDescent="0.25">
      <c r="A161">
        <v>2614</v>
      </c>
      <c r="B161" t="s">
        <v>579</v>
      </c>
      <c r="C161">
        <v>0</v>
      </c>
      <c r="D161" t="e">
        <f>VLOOKUP(A161,Sheet2!A:G,1,FALSE)</f>
        <v>#N/A</v>
      </c>
    </row>
    <row r="162" spans="1:4" x14ac:dyDescent="0.25">
      <c r="A162">
        <v>2615</v>
      </c>
      <c r="B162" t="s">
        <v>580</v>
      </c>
      <c r="C162">
        <v>0</v>
      </c>
      <c r="D162" t="e">
        <f>VLOOKUP(A162,Sheet2!A:G,1,FALSE)</f>
        <v>#N/A</v>
      </c>
    </row>
    <row r="163" spans="1:4" x14ac:dyDescent="0.25">
      <c r="A163">
        <v>2640</v>
      </c>
      <c r="B163" t="s">
        <v>581</v>
      </c>
      <c r="C163">
        <v>0</v>
      </c>
      <c r="D163" t="e">
        <f>VLOOKUP(A163,Sheet2!A:G,1,FALSE)</f>
        <v>#N/A</v>
      </c>
    </row>
    <row r="164" spans="1:4" x14ac:dyDescent="0.25">
      <c r="A164">
        <v>2645</v>
      </c>
      <c r="B164" t="s">
        <v>582</v>
      </c>
      <c r="C164">
        <v>0</v>
      </c>
      <c r="D164" t="e">
        <f>VLOOKUP(A164,Sheet2!A:G,1,FALSE)</f>
        <v>#N/A</v>
      </c>
    </row>
    <row r="165" spans="1:4" x14ac:dyDescent="0.25">
      <c r="A165">
        <v>2650</v>
      </c>
      <c r="B165" t="s">
        <v>583</v>
      </c>
      <c r="C165" t="s">
        <v>584</v>
      </c>
      <c r="D165" t="e">
        <f>VLOOKUP(A165,Sheet2!A:G,1,FALSE)</f>
        <v>#N/A</v>
      </c>
    </row>
    <row r="166" spans="1:4" x14ac:dyDescent="0.25">
      <c r="A166">
        <v>2710</v>
      </c>
      <c r="B166" t="s">
        <v>585</v>
      </c>
      <c r="C166" t="s">
        <v>586</v>
      </c>
      <c r="D166" t="e">
        <f>VLOOKUP(A166,Sheet2!A:G,1,FALSE)</f>
        <v>#N/A</v>
      </c>
    </row>
    <row r="167" spans="1:4" x14ac:dyDescent="0.25">
      <c r="A167">
        <v>2731</v>
      </c>
      <c r="B167" t="s">
        <v>587</v>
      </c>
      <c r="C167" t="s">
        <v>588</v>
      </c>
      <c r="D167" t="e">
        <f>VLOOKUP(A167,Sheet2!A:G,1,FALSE)</f>
        <v>#N/A</v>
      </c>
    </row>
    <row r="168" spans="1:4" x14ac:dyDescent="0.25">
      <c r="A168">
        <v>2820</v>
      </c>
      <c r="B168" t="s">
        <v>589</v>
      </c>
      <c r="C168">
        <v>0</v>
      </c>
      <c r="D168" t="e">
        <f>VLOOKUP(A168,Sheet2!A:G,1,FALSE)</f>
        <v>#N/A</v>
      </c>
    </row>
    <row r="169" spans="1:4" x14ac:dyDescent="0.25">
      <c r="A169">
        <v>2861</v>
      </c>
      <c r="B169" t="s">
        <v>590</v>
      </c>
      <c r="C169" t="s">
        <v>591</v>
      </c>
      <c r="D169" t="e">
        <f>VLOOKUP(A169,Sheet2!A:G,1,FALSE)</f>
        <v>#N/A</v>
      </c>
    </row>
    <row r="170" spans="1:4" x14ac:dyDescent="0.25">
      <c r="A170">
        <v>2869</v>
      </c>
      <c r="B170" t="s">
        <v>592</v>
      </c>
      <c r="C170" t="s">
        <v>593</v>
      </c>
      <c r="D170" t="e">
        <f>VLOOKUP(A170,Sheet2!A:G,1,FALSE)</f>
        <v>#N/A</v>
      </c>
    </row>
    <row r="171" spans="1:4" x14ac:dyDescent="0.25">
      <c r="A171">
        <v>2914</v>
      </c>
      <c r="B171" t="s">
        <v>594</v>
      </c>
      <c r="C171" t="s">
        <v>595</v>
      </c>
      <c r="D171" t="e">
        <f>VLOOKUP(A171,Sheet2!A:G,1,FALSE)</f>
        <v>#N/A</v>
      </c>
    </row>
    <row r="172" spans="1:4" x14ac:dyDescent="0.25">
      <c r="A172">
        <v>2920</v>
      </c>
      <c r="B172" t="s">
        <v>596</v>
      </c>
      <c r="C172" t="s">
        <v>597</v>
      </c>
      <c r="D172" t="e">
        <f>VLOOKUP(A172,Sheet2!A:G,1,FALSE)</f>
        <v>#N/A</v>
      </c>
    </row>
    <row r="173" spans="1:4" x14ac:dyDescent="0.25">
      <c r="A173">
        <v>2924</v>
      </c>
      <c r="B173" t="s">
        <v>598</v>
      </c>
      <c r="C173" t="s">
        <v>599</v>
      </c>
      <c r="D173" t="e">
        <f>VLOOKUP(A173,Sheet2!A:G,1,FALSE)</f>
        <v>#N/A</v>
      </c>
    </row>
    <row r="174" spans="1:4" x14ac:dyDescent="0.25">
      <c r="A174">
        <v>2941</v>
      </c>
      <c r="B174" t="s">
        <v>600</v>
      </c>
      <c r="C174">
        <v>0</v>
      </c>
      <c r="D174" t="e">
        <f>VLOOKUP(A174,Sheet2!A:G,1,FALSE)</f>
        <v>#N/A</v>
      </c>
    </row>
    <row r="175" spans="1:4" x14ac:dyDescent="0.25">
      <c r="A175">
        <v>2990</v>
      </c>
      <c r="B175" t="s">
        <v>601</v>
      </c>
      <c r="C175" t="s">
        <v>602</v>
      </c>
      <c r="D175" t="e">
        <f>VLOOKUP(A175,Sheet2!A:G,1,FALSE)</f>
        <v>#N/A</v>
      </c>
    </row>
    <row r="176" spans="1:4" x14ac:dyDescent="0.25">
      <c r="A176" t="s">
        <v>603</v>
      </c>
      <c r="C176" t="s">
        <v>604</v>
      </c>
      <c r="D176" t="e">
        <f>VLOOKUP(A176,Sheet2!A:G,1,FALSE)</f>
        <v>#N/A</v>
      </c>
    </row>
    <row r="177" spans="1:4" x14ac:dyDescent="0.25">
      <c r="A177" t="s">
        <v>605</v>
      </c>
      <c r="C177" t="s">
        <v>606</v>
      </c>
      <c r="D177" t="e">
        <f>VLOOKUP(A177,Sheet2!A:G,1,FALSE)</f>
        <v>#N/A</v>
      </c>
    </row>
    <row r="178" spans="1:4" x14ac:dyDescent="0.25">
      <c r="A178" t="s">
        <v>607</v>
      </c>
      <c r="D178" t="e">
        <f>VLOOKUP(A178,Sheet2!A:G,1,FALSE)</f>
        <v>#N/A</v>
      </c>
    </row>
    <row r="179" spans="1:4" x14ac:dyDescent="0.25">
      <c r="D179" t="e">
        <f>VLOOKUP(A179,Sheet2!A:G,1,FALSE)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Regneark</vt:lpstr>
      </vt:variant>
      <vt:variant>
        <vt:i4>3</vt:i4>
      </vt:variant>
      <vt:variant>
        <vt:lpstr>Navngivne områder</vt:lpstr>
      </vt:variant>
      <vt:variant>
        <vt:i4>2</vt:i4>
      </vt:variant>
    </vt:vector>
  </HeadingPairs>
  <TitlesOfParts>
    <vt:vector size="5" baseType="lpstr">
      <vt:lpstr>Sheet1</vt:lpstr>
      <vt:lpstr>Sheet2</vt:lpstr>
      <vt:lpstr>Ark1</vt:lpstr>
      <vt:lpstr>Sheet1!Udskriftstitler</vt:lpstr>
      <vt:lpstr>Sheet2!Udskriftstitler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Rose Edahl</dc:creator>
  <cp:lastModifiedBy>Frank Bjørklund</cp:lastModifiedBy>
  <dcterms:created xsi:type="dcterms:W3CDTF">2025-12-27T21:54:46Z</dcterms:created>
  <dcterms:modified xsi:type="dcterms:W3CDTF">2026-02-18T14:42:50Z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